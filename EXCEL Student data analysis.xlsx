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7E52188-3C50-4F2A-BD98-CF572AD3B08A}" xr6:coauthVersionLast="47" xr6:coauthVersionMax="47" xr10:uidLastSave="{00000000-0000-0000-0000-000000000000}"/>
  <bookViews>
    <workbookView xWindow="-120" yWindow="-120" windowWidth="24240" windowHeight="13020" xr2:uid="{9B41C010-C9AB-45B4-B065-FB3C941755E4}"/>
  </bookViews>
  <sheets>
    <sheet name="Raw Data" sheetId="1" r:id="rId1"/>
    <sheet name="Analysis" sheetId="2" r:id="rId2"/>
  </sheets>
  <calcPr calcId="191029"/>
  <pivotCaches>
    <pivotCache cacheId="4" r:id="rId3"/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93" i="1" l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J174" i="1"/>
  <c r="I174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</calcChain>
</file>

<file path=xl/sharedStrings.xml><?xml version="1.0" encoding="utf-8"?>
<sst xmlns="http://schemas.openxmlformats.org/spreadsheetml/2006/main" count="848" uniqueCount="58">
  <si>
    <t>PART C — PRACTICE DATASET (Social Media)</t>
  </si>
  <si>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</si>
  <si>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</si>
  <si>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</si>
  <si>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</si>
  <si>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</si>
  <si>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</si>
  <si>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</si>
  <si>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</t>
  </si>
  <si>
    <t>Sleep_Hours</t>
  </si>
  <si>
    <t>Mental_Health_Score</t>
  </si>
  <si>
    <t>Overall_Impact</t>
  </si>
  <si>
    <t>Male</t>
  </si>
  <si>
    <t>Undergraduate</t>
  </si>
  <si>
    <t>Other</t>
  </si>
  <si>
    <t>Facebook</t>
  </si>
  <si>
    <t>No</t>
  </si>
  <si>
    <t>Neutral</t>
  </si>
  <si>
    <t>Female</t>
  </si>
  <si>
    <t>LinkedIn</t>
  </si>
  <si>
    <t>Positive</t>
  </si>
  <si>
    <t>Graduate</t>
  </si>
  <si>
    <t>Canada</t>
  </si>
  <si>
    <t>Instagram</t>
  </si>
  <si>
    <t>Snapchat</t>
  </si>
  <si>
    <t>Yes</t>
  </si>
  <si>
    <t>Negative</t>
  </si>
  <si>
    <t>High School</t>
  </si>
  <si>
    <t>Twitter</t>
  </si>
  <si>
    <t>USA</t>
  </si>
  <si>
    <t>YouTube</t>
  </si>
  <si>
    <t>TikTok</t>
  </si>
  <si>
    <t>India</t>
  </si>
  <si>
    <t>Australia</t>
  </si>
  <si>
    <t>TASKS</t>
  </si>
  <si>
    <t>1. Use IF to classify students: Usage &gt; 6 hrs = 'High User', else 'Moderate User'</t>
  </si>
  <si>
    <t>2. Use IF + AND: flag students where Usage &gt; 5 AND Affects_Academic = 'Yes' as 'At Risk'</t>
  </si>
  <si>
    <t>3. Use IF + OR: identify students from 'USA' OR 'Canada' as 'North America', else 'Other'</t>
  </si>
  <si>
    <t>4. Use Nested IF on Mental_Health_Score: ≥7='Healthy', ≥5='Moderate', else='Low'</t>
  </si>
  <si>
    <t>5. Use IFERROR to protect a division formula (e.g. Sleep_Hours / Usage) from errors</t>
  </si>
  <si>
    <t>6. Use IFS to assign Sleep Bands: ≥8='Excellent', ≥6='Good', ≥4='Fair', else='Poor'</t>
  </si>
  <si>
    <t>7. Count how many students are 'At Risk' using COUNTIF on your new flag column</t>
  </si>
  <si>
    <t>ANSWERS</t>
  </si>
  <si>
    <t>ANSWER</t>
  </si>
  <si>
    <t>Answer</t>
  </si>
  <si>
    <t>At Risk</t>
  </si>
  <si>
    <t>Row Labels</t>
  </si>
  <si>
    <t>Good</t>
  </si>
  <si>
    <t>Grand Total</t>
  </si>
  <si>
    <t>Sum of Avg_Daily_Usage_Hours</t>
  </si>
  <si>
    <t>Count of Student_ID</t>
  </si>
  <si>
    <t>Column Labels</t>
  </si>
  <si>
    <t>High User</t>
  </si>
  <si>
    <t>Moderate User</t>
  </si>
  <si>
    <t>&gt;20</t>
  </si>
  <si>
    <t>18-18</t>
  </si>
  <si>
    <t>19-20</t>
  </si>
  <si>
    <t>Students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</si>
</sst>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1F38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00897B"/>
      </patternFill>
    </fill>
    <fill>
      <patternFill patternType="solid">
        <fgColor rgb="FFFCE4C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0" fillId="7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Student data analysis.xlsx]Analysis!PivotTable1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Count of Student_ID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Analysis!$A$2:$A$4</c:f>
              <c:strCache>
                <c:ptCount val="2"/>
                <c:pt idx="0">
                  <c:v>At Risk</c:v>
                </c:pt>
                <c:pt idx="1">
                  <c:v>Good</c:v>
                </c:pt>
              </c:strCache>
            </c:strRef>
          </c:cat>
          <c:val>
            <c:numRef>
              <c:f>Analysis!$B$2:$B$4</c:f>
              <c:numCache>
                <c:formatCode>General</c:formatCode>
                <c:ptCount val="2"/>
                <c:pt idx="0">
                  <c:v>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0-4700-9177-A972F01CA0BD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Sum of Avg_Daily_Usage_Hours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Analysis!$A$2:$A$4</c:f>
              <c:strCache>
                <c:ptCount val="2"/>
                <c:pt idx="0">
                  <c:v>At Risk</c:v>
                </c:pt>
                <c:pt idx="1">
                  <c:v>Good</c:v>
                </c:pt>
              </c:strCache>
            </c:strRef>
          </c:cat>
          <c:val>
            <c:numRef>
              <c:f>Analysis!$C$2:$C$4</c:f>
              <c:numCache>
                <c:formatCode>General</c:formatCode>
                <c:ptCount val="2"/>
                <c:pt idx="0">
                  <c:v>61.5</c:v>
                </c:pt>
                <c:pt idx="1">
                  <c:v>43.500000000000007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10-4700-9177-A972F01CA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67936367"/>
        <c:axId val="467931791"/>
      </c:barChart>
      <c:catAx>
        <c:axId val="46793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31791"/>
        <c:crosses val="autoZero"/>
        <c:auto val="1"/>
        <c:lblAlgn val="ctr"/>
        <c:lblOffset val="100"/>
        <c:noMultiLvlLbl val="0"/>
      </c:catAx>
      <c:valAx>
        <c:axId val="46793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3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Student data analysis.xlsx]Analysis!PivotTable3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Analysis!$B$23:$B$24</c:f>
              <c:strCache>
                <c:ptCount val="1"/>
                <c:pt idx="0">
                  <c:v>High User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Analysis!$A$25:$A$28</c:f>
              <c:strCache>
                <c:ptCount val="3"/>
                <c:pt idx="0">
                  <c:v>18-18</c:v>
                </c:pt>
                <c:pt idx="1">
                  <c:v>19-20</c:v>
                </c:pt>
                <c:pt idx="2">
                  <c:v>&gt;20</c:v>
                </c:pt>
              </c:strCache>
            </c:strRef>
          </c:cat>
          <c:val>
            <c:numRef>
              <c:f>Analysis!$B$25:$B$28</c:f>
              <c:numCache>
                <c:formatCode>General</c:formatCode>
                <c:ptCount val="3"/>
                <c:pt idx="0">
                  <c:v>14.6</c:v>
                </c:pt>
                <c:pt idx="2">
                  <c:v>41.9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F-4729-AFB5-50EB6E00E008}"/>
            </c:ext>
          </c:extLst>
        </c:ser>
        <c:ser>
          <c:idx val="1"/>
          <c:order val="1"/>
          <c:tx>
            <c:strRef>
              <c:f>Analysis!$C$23:$C$24</c:f>
              <c:strCache>
                <c:ptCount val="1"/>
                <c:pt idx="0">
                  <c:v>Moderate User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Analysis!$A$25:$A$28</c:f>
              <c:strCache>
                <c:ptCount val="3"/>
                <c:pt idx="0">
                  <c:v>18-18</c:v>
                </c:pt>
                <c:pt idx="1">
                  <c:v>19-20</c:v>
                </c:pt>
                <c:pt idx="2">
                  <c:v>&gt;20</c:v>
                </c:pt>
              </c:strCache>
            </c:strRef>
          </c:cat>
          <c:val>
            <c:numRef>
              <c:f>Analysis!$C$25:$C$28</c:f>
              <c:numCache>
                <c:formatCode>General</c:formatCode>
                <c:ptCount val="3"/>
                <c:pt idx="0">
                  <c:v>9.3000000000000007</c:v>
                </c:pt>
                <c:pt idx="1">
                  <c:v>15.6</c:v>
                </c:pt>
                <c:pt idx="2">
                  <c:v>23.599999999999998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FF-4729-AFB5-50EB6E00E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37021839"/>
        <c:axId val="837022671"/>
      </c:barChart>
      <c:catAx>
        <c:axId val="83702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671"/>
        <c:crosses val="autoZero"/>
        <c:auto val="1"/>
        <c:lblAlgn val="ctr"/>
        <c:lblOffset val="100"/>
        <c:noMultiLvlLbl val="0"/>
      </c:catAx>
      <c:valAx>
        <c:axId val="83702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0</xdr:rowOff>
    </xdr:from>
    <xdr:to>
      <xdr:col>5</xdr:col>
      <xdr:colOff>1095375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1FBE8D-CB83-0009-EF40-65A550B3C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18</xdr:row>
      <xdr:rowOff>23812</xdr:rowOff>
    </xdr:from>
    <xdr:to>
      <xdr:col>7</xdr:col>
      <xdr:colOff>66675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4127C7-85A2-DEE9-3F1C-023DEF32B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2.607621180556" createdVersion="8" refreshedVersion="8" minRefreshableVersion="3" recordCount="20" xr:uid="{66301191-96B0-4687-AA87-E53CAA1241BD}">
  <cacheSource type="worksheet">
    <worksheetSource ref="A58:I78" sheet="Raw Data"/>
  </cacheSource>
  <cacheFields count="9">
    <cacheField name="Student_ID" numFmtId="0">
      <sharedItems containsSemiMixedTypes="0" containsString="0" containsNumber="1" containsInteger="1" minValue="33" maxValue="862"/>
    </cacheField>
    <cacheField name="Age" numFmtId="0">
      <sharedItems containsSemiMixedTypes="0" containsString="0" containsNumber="1" containsInteger="1" minValue="18" maxValue="24"/>
    </cacheField>
    <cacheField name="Gender" numFmtId="0">
      <sharedItems/>
    </cacheField>
    <cacheField name="Academic_Level" numFmtId="0">
      <sharedItems/>
    </cacheField>
    <cacheField name="Country" numFmtId="0">
      <sharedItems/>
    </cacheField>
    <cacheField name="Avg_Daily_Usage_Hours" numFmtId="0">
      <sharedItems containsSemiMixedTypes="0" containsString="0" containsNumber="1" minValue="1.6" maxValue="8"/>
    </cacheField>
    <cacheField name="Most_Used_Platform" numFmtId="0">
      <sharedItems/>
    </cacheField>
    <cacheField name="Affects_Academic" numFmtId="0">
      <sharedItems/>
    </cacheField>
    <cacheField name="ANSWER" numFmtId="0">
      <sharedItems count="2">
        <s v="Good"/>
        <s v="At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2.614026967596" createdVersion="8" refreshedVersion="8" minRefreshableVersion="3" recordCount="20" xr:uid="{43C4865B-A3AC-468B-9E60-657F908453AC}">
  <cacheSource type="worksheet">
    <worksheetSource ref="A35:G55" sheet="Raw Data"/>
  </cacheSource>
  <cacheFields count="7">
    <cacheField name="Student_ID" numFmtId="0">
      <sharedItems containsSemiMixedTypes="0" containsString="0" containsNumber="1" containsInteger="1" minValue="33" maxValue="862"/>
    </cacheField>
    <cacheField name="Age" numFmtId="0">
      <sharedItems containsSemiMixedTypes="0" containsString="0" containsNumber="1" containsInteger="1" minValue="18" maxValue="24" count="7">
        <n v="21"/>
        <n v="23"/>
        <n v="22"/>
        <n v="18"/>
        <n v="24"/>
        <n v="19"/>
        <n v="20"/>
      </sharedItems>
      <fieldGroup base="1">
        <rangePr autoStart="0" autoEnd="0" startNum="18" endNum="20"/>
        <groupItems count="4">
          <s v="&lt;18"/>
          <s v="18-18"/>
          <s v="19-20"/>
          <s v="&gt;20"/>
        </groupItems>
      </fieldGroup>
    </cacheField>
    <cacheField name="Gender" numFmtId="0">
      <sharedItems/>
    </cacheField>
    <cacheField name="Academic_Level" numFmtId="0">
      <sharedItems/>
    </cacheField>
    <cacheField name="Country" numFmtId="0">
      <sharedItems/>
    </cacheField>
    <cacheField name="Avg_Daily_Usage_Hours" numFmtId="0">
      <sharedItems containsSemiMixedTypes="0" containsString="0" containsNumber="1" minValue="1.6" maxValue="8"/>
    </cacheField>
    <cacheField name="ANSWER" numFmtId="0">
      <sharedItems count="2">
        <s v="Moderate User"/>
        <s v="High Us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32"/>
    <n v="21"/>
    <s v="Male"/>
    <s v="Undergraduate"/>
    <s v="Other"/>
    <n v="4"/>
    <s v="Facebook"/>
    <s v="No"/>
    <x v="0"/>
  </r>
  <r>
    <n v="564"/>
    <n v="23"/>
    <s v="Female"/>
    <s v="Undergraduate"/>
    <s v="Other"/>
    <n v="1.6"/>
    <s v="LinkedIn"/>
    <s v="No"/>
    <x v="0"/>
  </r>
  <r>
    <n v="788"/>
    <n v="22"/>
    <s v="Male"/>
    <s v="Graduate"/>
    <s v="Canada"/>
    <n v="4.5999999999999996"/>
    <s v="Instagram"/>
    <s v="No"/>
    <x v="0"/>
  </r>
  <r>
    <n v="686"/>
    <n v="18"/>
    <s v="Male"/>
    <s v="Undergraduate"/>
    <s v="Other"/>
    <n v="7"/>
    <s v="Snapchat"/>
    <s v="Yes"/>
    <x v="1"/>
  </r>
  <r>
    <n v="608"/>
    <n v="24"/>
    <s v="Female"/>
    <s v="High School"/>
    <s v="Other"/>
    <n v="7.5"/>
    <s v="Facebook"/>
    <s v="Yes"/>
    <x v="1"/>
  </r>
  <r>
    <n v="370"/>
    <n v="19"/>
    <s v="Female"/>
    <s v="High School"/>
    <s v="Other"/>
    <n v="4.0999999999999996"/>
    <s v="Twitter"/>
    <s v="Yes"/>
    <x v="0"/>
  </r>
  <r>
    <n v="862"/>
    <n v="22"/>
    <s v="Female"/>
    <s v="Graduate"/>
    <s v="Other"/>
    <n v="8"/>
    <s v="Instagram"/>
    <s v="Yes"/>
    <x v="1"/>
  </r>
  <r>
    <n v="520"/>
    <n v="21"/>
    <s v="Female"/>
    <s v="Graduate"/>
    <s v="Other"/>
    <n v="6"/>
    <s v="Facebook"/>
    <s v="Yes"/>
    <x v="1"/>
  </r>
  <r>
    <n v="703"/>
    <n v="24"/>
    <s v="Male"/>
    <s v="Undergraduate"/>
    <s v="USA"/>
    <n v="4.7"/>
    <s v="YouTube"/>
    <s v="No"/>
    <x v="0"/>
  </r>
  <r>
    <n v="33"/>
    <n v="19"/>
    <s v="Male"/>
    <s v="High School"/>
    <s v="Other"/>
    <n v="3.6"/>
    <s v="TikTok"/>
    <s v="No"/>
    <x v="0"/>
  </r>
  <r>
    <n v="519"/>
    <n v="18"/>
    <s v="Male"/>
    <s v="Graduate"/>
    <s v="Other"/>
    <n v="4.0999999999999996"/>
    <s v="LinkedIn"/>
    <s v="No"/>
    <x v="0"/>
  </r>
  <r>
    <n v="738"/>
    <n v="18"/>
    <s v="Male"/>
    <s v="High School"/>
    <s v="Other"/>
    <n v="7.6"/>
    <s v="Snapchat"/>
    <s v="Yes"/>
    <x v="1"/>
  </r>
  <r>
    <n v="119"/>
    <n v="20"/>
    <s v="Male"/>
    <s v="Undergraduate"/>
    <s v="Other"/>
    <n v="2.4"/>
    <s v="Facebook"/>
    <s v="No"/>
    <x v="0"/>
  </r>
  <r>
    <n v="287"/>
    <n v="23"/>
    <s v="Female"/>
    <s v="Undergraduate"/>
    <s v="Other"/>
    <n v="6.2"/>
    <s v="LinkedIn"/>
    <s v="No"/>
    <x v="0"/>
  </r>
  <r>
    <n v="610"/>
    <n v="24"/>
    <s v="Male"/>
    <s v="Graduate"/>
    <s v="India"/>
    <n v="2.7"/>
    <s v="Instagram"/>
    <s v="No"/>
    <x v="0"/>
  </r>
  <r>
    <n v="383"/>
    <n v="18"/>
    <s v="Female"/>
    <s v="Graduate"/>
    <s v="Other"/>
    <n v="5.2"/>
    <s v="Twitter"/>
    <s v="Yes"/>
    <x v="1"/>
  </r>
  <r>
    <n v="699"/>
    <n v="22"/>
    <s v="Female"/>
    <s v="Graduate"/>
    <s v="USA"/>
    <n v="6.5"/>
    <s v="YouTube"/>
    <s v="Yes"/>
    <x v="1"/>
  </r>
  <r>
    <n v="302"/>
    <n v="21"/>
    <s v="Male"/>
    <s v="High School"/>
    <s v="Australia"/>
    <n v="6.8"/>
    <s v="YouTube"/>
    <s v="Yes"/>
    <x v="1"/>
  </r>
  <r>
    <n v="277"/>
    <n v="21"/>
    <s v="Male"/>
    <s v="Graduate"/>
    <s v="Canada"/>
    <n v="6.9"/>
    <s v="Facebook"/>
    <s v="Yes"/>
    <x v="1"/>
  </r>
  <r>
    <n v="631"/>
    <n v="20"/>
    <s v="Male"/>
    <s v="Undergraduate"/>
    <s v="Other"/>
    <n v="5.5"/>
    <s v="Instagram"/>
    <s v="No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32"/>
    <x v="0"/>
    <s v="Male"/>
    <s v="Undergraduate"/>
    <s v="Other"/>
    <n v="4"/>
    <x v="0"/>
  </r>
  <r>
    <n v="564"/>
    <x v="1"/>
    <s v="Female"/>
    <s v="Undergraduate"/>
    <s v="Other"/>
    <n v="1.6"/>
    <x v="0"/>
  </r>
  <r>
    <n v="788"/>
    <x v="2"/>
    <s v="Male"/>
    <s v="Graduate"/>
    <s v="Canada"/>
    <n v="4.5999999999999996"/>
    <x v="0"/>
  </r>
  <r>
    <n v="686"/>
    <x v="3"/>
    <s v="Male"/>
    <s v="Undergraduate"/>
    <s v="Other"/>
    <n v="7"/>
    <x v="1"/>
  </r>
  <r>
    <n v="608"/>
    <x v="4"/>
    <s v="Female"/>
    <s v="High School"/>
    <s v="Other"/>
    <n v="7.5"/>
    <x v="1"/>
  </r>
  <r>
    <n v="370"/>
    <x v="5"/>
    <s v="Female"/>
    <s v="High School"/>
    <s v="Other"/>
    <n v="4.0999999999999996"/>
    <x v="0"/>
  </r>
  <r>
    <n v="862"/>
    <x v="2"/>
    <s v="Female"/>
    <s v="Graduate"/>
    <s v="Other"/>
    <n v="8"/>
    <x v="1"/>
  </r>
  <r>
    <n v="520"/>
    <x v="0"/>
    <s v="Female"/>
    <s v="Graduate"/>
    <s v="Other"/>
    <n v="6"/>
    <x v="0"/>
  </r>
  <r>
    <n v="703"/>
    <x v="4"/>
    <s v="Male"/>
    <s v="Undergraduate"/>
    <s v="USA"/>
    <n v="4.7"/>
    <x v="0"/>
  </r>
  <r>
    <n v="33"/>
    <x v="5"/>
    <s v="Male"/>
    <s v="High School"/>
    <s v="Other"/>
    <n v="3.6"/>
    <x v="0"/>
  </r>
  <r>
    <n v="519"/>
    <x v="3"/>
    <s v="Male"/>
    <s v="Graduate"/>
    <s v="Other"/>
    <n v="4.0999999999999996"/>
    <x v="0"/>
  </r>
  <r>
    <n v="738"/>
    <x v="3"/>
    <s v="Male"/>
    <s v="High School"/>
    <s v="Other"/>
    <n v="7.6"/>
    <x v="1"/>
  </r>
  <r>
    <n v="119"/>
    <x v="6"/>
    <s v="Male"/>
    <s v="Undergraduate"/>
    <s v="Other"/>
    <n v="2.4"/>
    <x v="0"/>
  </r>
  <r>
    <n v="287"/>
    <x v="1"/>
    <s v="Female"/>
    <s v="Undergraduate"/>
    <s v="Other"/>
    <n v="6.2"/>
    <x v="1"/>
  </r>
  <r>
    <n v="610"/>
    <x v="4"/>
    <s v="Male"/>
    <s v="Graduate"/>
    <s v="India"/>
    <n v="2.7"/>
    <x v="0"/>
  </r>
  <r>
    <n v="383"/>
    <x v="3"/>
    <s v="Female"/>
    <s v="Graduate"/>
    <s v="Other"/>
    <n v="5.2"/>
    <x v="0"/>
  </r>
  <r>
    <n v="699"/>
    <x v="2"/>
    <s v="Female"/>
    <s v="Graduate"/>
    <s v="USA"/>
    <n v="6.5"/>
    <x v="1"/>
  </r>
  <r>
    <n v="302"/>
    <x v="0"/>
    <s v="Male"/>
    <s v="High School"/>
    <s v="Australia"/>
    <n v="6.8"/>
    <x v="1"/>
  </r>
  <r>
    <n v="277"/>
    <x v="0"/>
    <s v="Male"/>
    <s v="Graduate"/>
    <s v="Canada"/>
    <n v="6.9"/>
    <x v="1"/>
  </r>
  <r>
    <n v="631"/>
    <x v="6"/>
    <s v="Male"/>
    <s v="Undergraduate"/>
    <s v="Other"/>
    <n v="5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CAD9D-DCBA-417A-9F1C-B59DF9B23168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udents Age">
  <location ref="A23:D28" firstHeaderRow="1" firstDataRow="2" firstDataCol="1"/>
  <pivotFields count="7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Avg_Daily_Usage_Hours" fld="5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71913-C1C9-42EC-96C5-6A29D070D3C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4" firstHeaderRow="0" firstDataRow="1" firstDataCol="1"/>
  <pivotFields count="9"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udent_ID" fld="0" subtotal="count" baseField="8" baseItem="0"/>
    <dataField name="Sum of Avg_Daily_Usage_Hour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5CBAF-CFBA-44C9-94C3-ADE40BE35296}">
  <dimension ref="A1:K193"/>
  <sheetViews>
    <sheetView tabSelected="1" topLeftCell="A27" workbookViewId="0">
      <selection activeCell="H38" sqref="H38"/>
    </sheetView>
  </sheetViews>
  <sheetFormatPr defaultRowHeight="15" x14ac:dyDescent="0.25"/>
  <cols>
    <col min="1" max="1" width="18" customWidth="1"/>
    <col min="2" max="2" width="13" customWidth="1"/>
    <col min="4" max="4" width="27" customWidth="1"/>
    <col min="6" max="6" width="27.28515625" customWidth="1"/>
    <col min="7" max="7" width="28.5703125" customWidth="1"/>
    <col min="8" max="8" width="24.7109375" customWidth="1"/>
    <col min="9" max="9" width="13.85546875" customWidth="1"/>
    <col min="10" max="10" width="14.7109375" customWidth="1"/>
    <col min="11" max="11" width="16.7109375" customWidth="1"/>
  </cols>
  <sheetData>
    <row r="1" spans="1:11" x14ac:dyDescent="0.25">
      <c r="A1" s="1" t="s">
        <v>0</v>
      </c>
      <c r="B1" s="2"/>
      <c r="C1" s="2"/>
      <c r="D1" s="2"/>
      <c r="E1" s="2"/>
      <c r="F1" s="2"/>
    </row>
    <row r="2" spans="1:11" ht="38.2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25.5" x14ac:dyDescent="0.25">
      <c r="A3" s="4">
        <v>232</v>
      </c>
      <c r="B3" s="4">
        <v>21</v>
      </c>
      <c r="C3" s="4" t="s">
        <v>12</v>
      </c>
      <c r="D3" s="4" t="s">
        <v>13</v>
      </c>
      <c r="E3" s="4" t="s">
        <v>14</v>
      </c>
      <c r="F3" s="4">
        <v>4</v>
      </c>
      <c r="G3" s="4" t="s">
        <v>15</v>
      </c>
      <c r="H3" s="4" t="s">
        <v>16</v>
      </c>
      <c r="I3" s="4">
        <v>6.7</v>
      </c>
      <c r="J3" s="4">
        <v>6.8</v>
      </c>
      <c r="K3" s="4" t="s">
        <v>17</v>
      </c>
    </row>
    <row r="4" spans="1:11" ht="25.5" x14ac:dyDescent="0.25">
      <c r="A4" s="5">
        <v>564</v>
      </c>
      <c r="B4" s="5">
        <v>23</v>
      </c>
      <c r="C4" s="5" t="s">
        <v>18</v>
      </c>
      <c r="D4" s="5" t="s">
        <v>13</v>
      </c>
      <c r="E4" s="5" t="s">
        <v>14</v>
      </c>
      <c r="F4" s="5">
        <v>1.6</v>
      </c>
      <c r="G4" s="5" t="s">
        <v>19</v>
      </c>
      <c r="H4" s="5" t="s">
        <v>16</v>
      </c>
      <c r="I4" s="5">
        <v>8.6</v>
      </c>
      <c r="J4" s="5">
        <v>7.6</v>
      </c>
      <c r="K4" s="5" t="s">
        <v>20</v>
      </c>
    </row>
    <row r="5" spans="1:11" x14ac:dyDescent="0.25">
      <c r="A5" s="4">
        <v>788</v>
      </c>
      <c r="B5" s="4">
        <v>22</v>
      </c>
      <c r="C5" s="4" t="s">
        <v>12</v>
      </c>
      <c r="D5" s="4" t="s">
        <v>21</v>
      </c>
      <c r="E5" s="4" t="s">
        <v>22</v>
      </c>
      <c r="F5" s="4">
        <v>4.5999999999999996</v>
      </c>
      <c r="G5" s="4" t="s">
        <v>23</v>
      </c>
      <c r="H5" s="4" t="s">
        <v>16</v>
      </c>
      <c r="I5" s="4">
        <v>6.7</v>
      </c>
      <c r="J5" s="4">
        <v>7</v>
      </c>
      <c r="K5" s="4" t="s">
        <v>17</v>
      </c>
    </row>
    <row r="6" spans="1:11" ht="25.5" x14ac:dyDescent="0.25">
      <c r="A6" s="5">
        <v>686</v>
      </c>
      <c r="B6" s="5">
        <v>18</v>
      </c>
      <c r="C6" s="5" t="s">
        <v>12</v>
      </c>
      <c r="D6" s="5" t="s">
        <v>13</v>
      </c>
      <c r="E6" s="5" t="s">
        <v>14</v>
      </c>
      <c r="F6" s="5">
        <v>7</v>
      </c>
      <c r="G6" s="5" t="s">
        <v>24</v>
      </c>
      <c r="H6" s="5" t="s">
        <v>25</v>
      </c>
      <c r="I6" s="5">
        <v>5.4</v>
      </c>
      <c r="J6" s="5">
        <v>5.3</v>
      </c>
      <c r="K6" s="5" t="s">
        <v>26</v>
      </c>
    </row>
    <row r="7" spans="1:11" ht="25.5" x14ac:dyDescent="0.25">
      <c r="A7" s="4">
        <v>608</v>
      </c>
      <c r="B7" s="4">
        <v>24</v>
      </c>
      <c r="C7" s="4" t="s">
        <v>18</v>
      </c>
      <c r="D7" s="4" t="s">
        <v>27</v>
      </c>
      <c r="E7" s="4" t="s">
        <v>14</v>
      </c>
      <c r="F7" s="4">
        <v>7.5</v>
      </c>
      <c r="G7" s="4" t="s">
        <v>15</v>
      </c>
      <c r="H7" s="4" t="s">
        <v>25</v>
      </c>
      <c r="I7" s="4">
        <v>5</v>
      </c>
      <c r="J7" s="4">
        <v>4.4000000000000004</v>
      </c>
      <c r="K7" s="4" t="s">
        <v>26</v>
      </c>
    </row>
    <row r="8" spans="1:11" ht="25.5" x14ac:dyDescent="0.25">
      <c r="A8" s="5">
        <v>370</v>
      </c>
      <c r="B8" s="5">
        <v>19</v>
      </c>
      <c r="C8" s="5" t="s">
        <v>18</v>
      </c>
      <c r="D8" s="5" t="s">
        <v>27</v>
      </c>
      <c r="E8" s="5" t="s">
        <v>14</v>
      </c>
      <c r="F8" s="5">
        <v>4.0999999999999996</v>
      </c>
      <c r="G8" s="5" t="s">
        <v>28</v>
      </c>
      <c r="H8" s="5" t="s">
        <v>25</v>
      </c>
      <c r="I8" s="5">
        <v>6.8</v>
      </c>
      <c r="J8" s="5">
        <v>6.8</v>
      </c>
      <c r="K8" s="5" t="s">
        <v>17</v>
      </c>
    </row>
    <row r="9" spans="1:11" x14ac:dyDescent="0.25">
      <c r="A9" s="4">
        <v>862</v>
      </c>
      <c r="B9" s="4">
        <v>22</v>
      </c>
      <c r="C9" s="4" t="s">
        <v>18</v>
      </c>
      <c r="D9" s="4" t="s">
        <v>21</v>
      </c>
      <c r="E9" s="4" t="s">
        <v>14</v>
      </c>
      <c r="F9" s="4">
        <v>8</v>
      </c>
      <c r="G9" s="4" t="s">
        <v>23</v>
      </c>
      <c r="H9" s="4" t="s">
        <v>25</v>
      </c>
      <c r="I9" s="4">
        <v>5.2</v>
      </c>
      <c r="J9" s="4">
        <v>5.3</v>
      </c>
      <c r="K9" s="4" t="s">
        <v>26</v>
      </c>
    </row>
    <row r="10" spans="1:11" x14ac:dyDescent="0.25">
      <c r="A10" s="5">
        <v>520</v>
      </c>
      <c r="B10" s="5">
        <v>21</v>
      </c>
      <c r="C10" s="5" t="s">
        <v>18</v>
      </c>
      <c r="D10" s="5" t="s">
        <v>21</v>
      </c>
      <c r="E10" s="5" t="s">
        <v>14</v>
      </c>
      <c r="F10" s="5">
        <v>6</v>
      </c>
      <c r="G10" s="5" t="s">
        <v>15</v>
      </c>
      <c r="H10" s="5" t="s">
        <v>25</v>
      </c>
      <c r="I10" s="5">
        <v>5.7</v>
      </c>
      <c r="J10" s="5">
        <v>4.7</v>
      </c>
      <c r="K10" s="5" t="s">
        <v>26</v>
      </c>
    </row>
    <row r="11" spans="1:11" ht="25.5" x14ac:dyDescent="0.25">
      <c r="A11" s="4">
        <v>703</v>
      </c>
      <c r="B11" s="4">
        <v>24</v>
      </c>
      <c r="C11" s="4" t="s">
        <v>12</v>
      </c>
      <c r="D11" s="4" t="s">
        <v>13</v>
      </c>
      <c r="E11" s="4" t="s">
        <v>29</v>
      </c>
      <c r="F11" s="4">
        <v>4.7</v>
      </c>
      <c r="G11" s="4" t="s">
        <v>30</v>
      </c>
      <c r="H11" s="4" t="s">
        <v>16</v>
      </c>
      <c r="I11" s="4">
        <v>7</v>
      </c>
      <c r="J11" s="4">
        <v>6.2</v>
      </c>
      <c r="K11" s="4" t="s">
        <v>17</v>
      </c>
    </row>
    <row r="12" spans="1:11" ht="25.5" x14ac:dyDescent="0.25">
      <c r="A12" s="5">
        <v>33</v>
      </c>
      <c r="B12" s="5">
        <v>19</v>
      </c>
      <c r="C12" s="5" t="s">
        <v>12</v>
      </c>
      <c r="D12" s="5" t="s">
        <v>27</v>
      </c>
      <c r="E12" s="5" t="s">
        <v>14</v>
      </c>
      <c r="F12" s="5">
        <v>3.6</v>
      </c>
      <c r="G12" s="5" t="s">
        <v>31</v>
      </c>
      <c r="H12" s="5" t="s">
        <v>16</v>
      </c>
      <c r="I12" s="5">
        <v>8.1</v>
      </c>
      <c r="J12" s="5">
        <v>8.6</v>
      </c>
      <c r="K12" s="5" t="s">
        <v>20</v>
      </c>
    </row>
    <row r="13" spans="1:11" x14ac:dyDescent="0.25">
      <c r="A13" s="4">
        <v>519</v>
      </c>
      <c r="B13" s="4">
        <v>18</v>
      </c>
      <c r="C13" s="4" t="s">
        <v>12</v>
      </c>
      <c r="D13" s="4" t="s">
        <v>21</v>
      </c>
      <c r="E13" s="4" t="s">
        <v>14</v>
      </c>
      <c r="F13" s="4">
        <v>4.0999999999999996</v>
      </c>
      <c r="G13" s="4" t="s">
        <v>19</v>
      </c>
      <c r="H13" s="4" t="s">
        <v>16</v>
      </c>
      <c r="I13" s="4">
        <v>7.3</v>
      </c>
      <c r="J13" s="4">
        <v>6.8</v>
      </c>
      <c r="K13" s="4" t="s">
        <v>17</v>
      </c>
    </row>
    <row r="14" spans="1:11" ht="25.5" x14ac:dyDescent="0.25">
      <c r="A14" s="5">
        <v>738</v>
      </c>
      <c r="B14" s="5">
        <v>18</v>
      </c>
      <c r="C14" s="5" t="s">
        <v>12</v>
      </c>
      <c r="D14" s="5" t="s">
        <v>27</v>
      </c>
      <c r="E14" s="5" t="s">
        <v>14</v>
      </c>
      <c r="F14" s="5">
        <v>7.6</v>
      </c>
      <c r="G14" s="5" t="s">
        <v>24</v>
      </c>
      <c r="H14" s="5" t="s">
        <v>25</v>
      </c>
      <c r="I14" s="5">
        <v>5.3</v>
      </c>
      <c r="J14" s="5">
        <v>5.5</v>
      </c>
      <c r="K14" s="5" t="s">
        <v>26</v>
      </c>
    </row>
    <row r="15" spans="1:11" ht="25.5" x14ac:dyDescent="0.25">
      <c r="A15" s="4">
        <v>119</v>
      </c>
      <c r="B15" s="4">
        <v>20</v>
      </c>
      <c r="C15" s="4" t="s">
        <v>12</v>
      </c>
      <c r="D15" s="4" t="s">
        <v>13</v>
      </c>
      <c r="E15" s="4" t="s">
        <v>14</v>
      </c>
      <c r="F15" s="4">
        <v>2.4</v>
      </c>
      <c r="G15" s="4" t="s">
        <v>15</v>
      </c>
      <c r="H15" s="4" t="s">
        <v>16</v>
      </c>
      <c r="I15" s="4">
        <v>8.8000000000000007</v>
      </c>
      <c r="J15" s="4">
        <v>8.5</v>
      </c>
      <c r="K15" s="4" t="s">
        <v>20</v>
      </c>
    </row>
    <row r="16" spans="1:11" ht="25.5" x14ac:dyDescent="0.25">
      <c r="A16" s="5">
        <v>287</v>
      </c>
      <c r="B16" s="5">
        <v>23</v>
      </c>
      <c r="C16" s="5" t="s">
        <v>18</v>
      </c>
      <c r="D16" s="5" t="s">
        <v>13</v>
      </c>
      <c r="E16" s="5" t="s">
        <v>14</v>
      </c>
      <c r="F16" s="5">
        <v>6.2</v>
      </c>
      <c r="G16" s="5" t="s">
        <v>19</v>
      </c>
      <c r="H16" s="5" t="s">
        <v>16</v>
      </c>
      <c r="I16" s="5">
        <v>5.3</v>
      </c>
      <c r="J16" s="5">
        <v>5.4</v>
      </c>
      <c r="K16" s="5" t="s">
        <v>26</v>
      </c>
    </row>
    <row r="17" spans="1:11" x14ac:dyDescent="0.25">
      <c r="A17" s="4">
        <v>610</v>
      </c>
      <c r="B17" s="4">
        <v>24</v>
      </c>
      <c r="C17" s="4" t="s">
        <v>12</v>
      </c>
      <c r="D17" s="4" t="s">
        <v>21</v>
      </c>
      <c r="E17" s="4" t="s">
        <v>32</v>
      </c>
      <c r="F17" s="4">
        <v>2.7</v>
      </c>
      <c r="G17" s="4" t="s">
        <v>23</v>
      </c>
      <c r="H17" s="4" t="s">
        <v>16</v>
      </c>
      <c r="I17" s="4">
        <v>8.6</v>
      </c>
      <c r="J17" s="4">
        <v>7.8</v>
      </c>
      <c r="K17" s="4" t="s">
        <v>20</v>
      </c>
    </row>
    <row r="18" spans="1:11" x14ac:dyDescent="0.25">
      <c r="A18" s="5">
        <v>383</v>
      </c>
      <c r="B18" s="5">
        <v>18</v>
      </c>
      <c r="C18" s="5" t="s">
        <v>18</v>
      </c>
      <c r="D18" s="5" t="s">
        <v>21</v>
      </c>
      <c r="E18" s="5" t="s">
        <v>14</v>
      </c>
      <c r="F18" s="5">
        <v>5.2</v>
      </c>
      <c r="G18" s="5" t="s">
        <v>28</v>
      </c>
      <c r="H18" s="5" t="s">
        <v>25</v>
      </c>
      <c r="I18" s="5">
        <v>7</v>
      </c>
      <c r="J18" s="5">
        <v>6.3</v>
      </c>
      <c r="K18" s="5" t="s">
        <v>17</v>
      </c>
    </row>
    <row r="19" spans="1:11" x14ac:dyDescent="0.25">
      <c r="A19" s="4">
        <v>699</v>
      </c>
      <c r="B19" s="4">
        <v>22</v>
      </c>
      <c r="C19" s="4" t="s">
        <v>18</v>
      </c>
      <c r="D19" s="4" t="s">
        <v>21</v>
      </c>
      <c r="E19" s="4" t="s">
        <v>29</v>
      </c>
      <c r="F19" s="4">
        <v>6.5</v>
      </c>
      <c r="G19" s="4" t="s">
        <v>30</v>
      </c>
      <c r="H19" s="4" t="s">
        <v>25</v>
      </c>
      <c r="I19" s="4">
        <v>5.4</v>
      </c>
      <c r="J19" s="4">
        <v>5</v>
      </c>
      <c r="K19" s="4" t="s">
        <v>26</v>
      </c>
    </row>
    <row r="20" spans="1:11" ht="25.5" x14ac:dyDescent="0.25">
      <c r="A20" s="5">
        <v>302</v>
      </c>
      <c r="B20" s="5">
        <v>21</v>
      </c>
      <c r="C20" s="5" t="s">
        <v>12</v>
      </c>
      <c r="D20" s="5" t="s">
        <v>27</v>
      </c>
      <c r="E20" s="5" t="s">
        <v>33</v>
      </c>
      <c r="F20" s="5">
        <v>6.8</v>
      </c>
      <c r="G20" s="5" t="s">
        <v>30</v>
      </c>
      <c r="H20" s="5" t="s">
        <v>25</v>
      </c>
      <c r="I20" s="5">
        <v>5.7</v>
      </c>
      <c r="J20" s="5">
        <v>5</v>
      </c>
      <c r="K20" s="5" t="s">
        <v>26</v>
      </c>
    </row>
    <row r="21" spans="1:11" x14ac:dyDescent="0.25">
      <c r="A21" s="4">
        <v>277</v>
      </c>
      <c r="B21" s="4">
        <v>21</v>
      </c>
      <c r="C21" s="4" t="s">
        <v>12</v>
      </c>
      <c r="D21" s="4" t="s">
        <v>21</v>
      </c>
      <c r="E21" s="4" t="s">
        <v>22</v>
      </c>
      <c r="F21" s="4">
        <v>6.9</v>
      </c>
      <c r="G21" s="4" t="s">
        <v>15</v>
      </c>
      <c r="H21" s="4" t="s">
        <v>25</v>
      </c>
      <c r="I21" s="4">
        <v>5.9</v>
      </c>
      <c r="J21" s="4">
        <v>5</v>
      </c>
      <c r="K21" s="4" t="s">
        <v>26</v>
      </c>
    </row>
    <row r="22" spans="1:11" ht="25.5" x14ac:dyDescent="0.25">
      <c r="A22" s="5">
        <v>631</v>
      </c>
      <c r="B22" s="5">
        <v>20</v>
      </c>
      <c r="C22" s="5" t="s">
        <v>12</v>
      </c>
      <c r="D22" s="5" t="s">
        <v>13</v>
      </c>
      <c r="E22" s="5" t="s">
        <v>14</v>
      </c>
      <c r="F22" s="5">
        <v>5.5</v>
      </c>
      <c r="G22" s="5" t="s">
        <v>23</v>
      </c>
      <c r="H22" s="5" t="s">
        <v>16</v>
      </c>
      <c r="I22" s="5">
        <v>6.8</v>
      </c>
      <c r="J22" s="5">
        <v>6.8</v>
      </c>
      <c r="K22" s="5" t="s">
        <v>17</v>
      </c>
    </row>
    <row r="24" spans="1:11" x14ac:dyDescent="0.25">
      <c r="A24" s="6" t="s">
        <v>34</v>
      </c>
      <c r="B24" s="2"/>
      <c r="C24" s="2"/>
      <c r="D24" s="2"/>
      <c r="E24" s="2"/>
      <c r="F24" s="2"/>
    </row>
    <row r="25" spans="1:11" x14ac:dyDescent="0.25">
      <c r="A25" s="7" t="s">
        <v>35</v>
      </c>
      <c r="B25" s="8"/>
      <c r="C25" s="8"/>
      <c r="D25" s="8"/>
      <c r="E25" s="8"/>
      <c r="F25" s="9"/>
    </row>
    <row r="26" spans="1:11" x14ac:dyDescent="0.25">
      <c r="A26" s="7" t="s">
        <v>36</v>
      </c>
      <c r="B26" s="8"/>
      <c r="C26" s="8"/>
      <c r="D26" s="8"/>
      <c r="E26" s="8"/>
      <c r="F26" s="9"/>
    </row>
    <row r="27" spans="1:11" x14ac:dyDescent="0.25">
      <c r="A27" s="7" t="s">
        <v>37</v>
      </c>
      <c r="B27" s="8"/>
      <c r="C27" s="8"/>
      <c r="D27" s="8"/>
      <c r="E27" s="8"/>
      <c r="F27" s="9"/>
    </row>
    <row r="28" spans="1:11" x14ac:dyDescent="0.25">
      <c r="A28" s="7" t="s">
        <v>38</v>
      </c>
      <c r="B28" s="8"/>
      <c r="C28" s="8"/>
      <c r="D28" s="8"/>
      <c r="E28" s="8"/>
      <c r="F28" s="9"/>
    </row>
    <row r="29" spans="1:11" x14ac:dyDescent="0.25">
      <c r="A29" s="7" t="s">
        <v>39</v>
      </c>
      <c r="B29" s="8"/>
      <c r="C29" s="8"/>
      <c r="D29" s="8"/>
      <c r="E29" s="8"/>
      <c r="F29" s="9"/>
    </row>
    <row r="30" spans="1:11" x14ac:dyDescent="0.25">
      <c r="A30" s="7" t="s">
        <v>40</v>
      </c>
      <c r="B30" s="8"/>
      <c r="C30" s="8"/>
      <c r="D30" s="8"/>
      <c r="E30" s="8"/>
      <c r="F30" s="9"/>
    </row>
    <row r="31" spans="1:11" x14ac:dyDescent="0.25">
      <c r="A31" s="7" t="s">
        <v>41</v>
      </c>
      <c r="B31" s="8"/>
      <c r="C31" s="8"/>
      <c r="D31" s="8"/>
      <c r="E31" s="8"/>
      <c r="F31" s="9"/>
    </row>
    <row r="33" spans="1:7" x14ac:dyDescent="0.25">
      <c r="A33" s="10" t="s">
        <v>42</v>
      </c>
      <c r="B33" s="10"/>
      <c r="C33" s="10"/>
      <c r="D33" s="10"/>
    </row>
    <row r="34" spans="1:7" x14ac:dyDescent="0.25">
      <c r="A34" s="7" t="s">
        <v>35</v>
      </c>
      <c r="B34" s="8"/>
      <c r="C34" s="8"/>
      <c r="D34" s="8"/>
      <c r="E34" s="8"/>
      <c r="F34" s="9"/>
    </row>
    <row r="35" spans="1:7" x14ac:dyDescent="0.25">
      <c r="A35" s="3" t="s">
        <v>1</v>
      </c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11" t="s">
        <v>43</v>
      </c>
    </row>
    <row r="36" spans="1:7" x14ac:dyDescent="0.25">
      <c r="A36" s="4">
        <v>232</v>
      </c>
      <c r="B36" s="4">
        <v>21</v>
      </c>
      <c r="C36" s="4" t="s">
        <v>12</v>
      </c>
      <c r="D36" s="4" t="s">
        <v>13</v>
      </c>
      <c r="E36" s="4" t="s">
        <v>14</v>
      </c>
      <c r="F36" s="4">
        <v>4</v>
      </c>
      <c r="G36" t="str">
        <f>IF(F36&gt;6,"High User","Moderate User")</f>
        <v>Moderate User</v>
      </c>
    </row>
    <row r="37" spans="1:7" x14ac:dyDescent="0.25">
      <c r="A37" s="5">
        <v>564</v>
      </c>
      <c r="B37" s="5">
        <v>23</v>
      </c>
      <c r="C37" s="5" t="s">
        <v>18</v>
      </c>
      <c r="D37" s="5" t="s">
        <v>13</v>
      </c>
      <c r="E37" s="5" t="s">
        <v>14</v>
      </c>
      <c r="F37" s="5">
        <v>1.6</v>
      </c>
      <c r="G37" t="str">
        <f t="shared" ref="G37:G55" si="0">IF(F37&gt;6,"High User","Moderate User")</f>
        <v>Moderate User</v>
      </c>
    </row>
    <row r="38" spans="1:7" x14ac:dyDescent="0.25">
      <c r="A38" s="4">
        <v>788</v>
      </c>
      <c r="B38" s="4">
        <v>22</v>
      </c>
      <c r="C38" s="4" t="s">
        <v>12</v>
      </c>
      <c r="D38" s="4" t="s">
        <v>21</v>
      </c>
      <c r="E38" s="4" t="s">
        <v>22</v>
      </c>
      <c r="F38" s="4">
        <v>4.5999999999999996</v>
      </c>
      <c r="G38" t="str">
        <f t="shared" si="0"/>
        <v>Moderate User</v>
      </c>
    </row>
    <row r="39" spans="1:7" x14ac:dyDescent="0.25">
      <c r="A39" s="5">
        <v>686</v>
      </c>
      <c r="B39" s="5">
        <v>18</v>
      </c>
      <c r="C39" s="5" t="s">
        <v>12</v>
      </c>
      <c r="D39" s="5" t="s">
        <v>13</v>
      </c>
      <c r="E39" s="5" t="s">
        <v>14</v>
      </c>
      <c r="F39" s="5">
        <v>7</v>
      </c>
      <c r="G39" t="str">
        <f t="shared" si="0"/>
        <v>High User</v>
      </c>
    </row>
    <row r="40" spans="1:7" x14ac:dyDescent="0.25">
      <c r="A40" s="4">
        <v>608</v>
      </c>
      <c r="B40" s="4">
        <v>24</v>
      </c>
      <c r="C40" s="4" t="s">
        <v>18</v>
      </c>
      <c r="D40" s="4" t="s">
        <v>27</v>
      </c>
      <c r="E40" s="4" t="s">
        <v>14</v>
      </c>
      <c r="F40" s="4">
        <v>7.5</v>
      </c>
      <c r="G40" t="str">
        <f t="shared" si="0"/>
        <v>High User</v>
      </c>
    </row>
    <row r="41" spans="1:7" x14ac:dyDescent="0.25">
      <c r="A41" s="5">
        <v>370</v>
      </c>
      <c r="B41" s="5">
        <v>19</v>
      </c>
      <c r="C41" s="5" t="s">
        <v>18</v>
      </c>
      <c r="D41" s="5" t="s">
        <v>27</v>
      </c>
      <c r="E41" s="5" t="s">
        <v>14</v>
      </c>
      <c r="F41" s="5">
        <v>4.0999999999999996</v>
      </c>
      <c r="G41" t="str">
        <f t="shared" si="0"/>
        <v>Moderate User</v>
      </c>
    </row>
    <row r="42" spans="1:7" x14ac:dyDescent="0.25">
      <c r="A42" s="4">
        <v>862</v>
      </c>
      <c r="B42" s="4">
        <v>22</v>
      </c>
      <c r="C42" s="4" t="s">
        <v>18</v>
      </c>
      <c r="D42" s="4" t="s">
        <v>21</v>
      </c>
      <c r="E42" s="4" t="s">
        <v>14</v>
      </c>
      <c r="F42" s="4">
        <v>8</v>
      </c>
      <c r="G42" t="str">
        <f t="shared" si="0"/>
        <v>High User</v>
      </c>
    </row>
    <row r="43" spans="1:7" x14ac:dyDescent="0.25">
      <c r="A43" s="5">
        <v>520</v>
      </c>
      <c r="B43" s="5">
        <v>21</v>
      </c>
      <c r="C43" s="5" t="s">
        <v>18</v>
      </c>
      <c r="D43" s="5" t="s">
        <v>21</v>
      </c>
      <c r="E43" s="5" t="s">
        <v>14</v>
      </c>
      <c r="F43" s="5">
        <v>6</v>
      </c>
      <c r="G43" t="str">
        <f t="shared" si="0"/>
        <v>Moderate User</v>
      </c>
    </row>
    <row r="44" spans="1:7" x14ac:dyDescent="0.25">
      <c r="A44" s="4">
        <v>703</v>
      </c>
      <c r="B44" s="4">
        <v>24</v>
      </c>
      <c r="C44" s="4" t="s">
        <v>12</v>
      </c>
      <c r="D44" s="4" t="s">
        <v>13</v>
      </c>
      <c r="E44" s="4" t="s">
        <v>29</v>
      </c>
      <c r="F44" s="4">
        <v>4.7</v>
      </c>
      <c r="G44" t="str">
        <f t="shared" si="0"/>
        <v>Moderate User</v>
      </c>
    </row>
    <row r="45" spans="1:7" x14ac:dyDescent="0.25">
      <c r="A45" s="5">
        <v>33</v>
      </c>
      <c r="B45" s="5">
        <v>19</v>
      </c>
      <c r="C45" s="5" t="s">
        <v>12</v>
      </c>
      <c r="D45" s="5" t="s">
        <v>27</v>
      </c>
      <c r="E45" s="5" t="s">
        <v>14</v>
      </c>
      <c r="F45" s="5">
        <v>3.6</v>
      </c>
      <c r="G45" t="str">
        <f t="shared" si="0"/>
        <v>Moderate User</v>
      </c>
    </row>
    <row r="46" spans="1:7" x14ac:dyDescent="0.25">
      <c r="A46" s="4">
        <v>519</v>
      </c>
      <c r="B46" s="4">
        <v>18</v>
      </c>
      <c r="C46" s="4" t="s">
        <v>12</v>
      </c>
      <c r="D46" s="4" t="s">
        <v>21</v>
      </c>
      <c r="E46" s="4" t="s">
        <v>14</v>
      </c>
      <c r="F46" s="4">
        <v>4.0999999999999996</v>
      </c>
      <c r="G46" t="str">
        <f t="shared" si="0"/>
        <v>Moderate User</v>
      </c>
    </row>
    <row r="47" spans="1:7" x14ac:dyDescent="0.25">
      <c r="A47" s="5">
        <v>738</v>
      </c>
      <c r="B47" s="5">
        <v>18</v>
      </c>
      <c r="C47" s="5" t="s">
        <v>12</v>
      </c>
      <c r="D47" s="5" t="s">
        <v>27</v>
      </c>
      <c r="E47" s="5" t="s">
        <v>14</v>
      </c>
      <c r="F47" s="5">
        <v>7.6</v>
      </c>
      <c r="G47" t="str">
        <f t="shared" si="0"/>
        <v>High User</v>
      </c>
    </row>
    <row r="48" spans="1:7" x14ac:dyDescent="0.25">
      <c r="A48" s="4">
        <v>119</v>
      </c>
      <c r="B48" s="4">
        <v>20</v>
      </c>
      <c r="C48" s="4" t="s">
        <v>12</v>
      </c>
      <c r="D48" s="4" t="s">
        <v>13</v>
      </c>
      <c r="E48" s="4" t="s">
        <v>14</v>
      </c>
      <c r="F48" s="4">
        <v>2.4</v>
      </c>
      <c r="G48" t="str">
        <f t="shared" si="0"/>
        <v>Moderate User</v>
      </c>
    </row>
    <row r="49" spans="1:9" x14ac:dyDescent="0.25">
      <c r="A49" s="5">
        <v>287</v>
      </c>
      <c r="B49" s="5">
        <v>23</v>
      </c>
      <c r="C49" s="5" t="s">
        <v>18</v>
      </c>
      <c r="D49" s="5" t="s">
        <v>13</v>
      </c>
      <c r="E49" s="5" t="s">
        <v>14</v>
      </c>
      <c r="F49" s="5">
        <v>6.2</v>
      </c>
      <c r="G49" t="str">
        <f t="shared" si="0"/>
        <v>High User</v>
      </c>
    </row>
    <row r="50" spans="1:9" x14ac:dyDescent="0.25">
      <c r="A50" s="4">
        <v>610</v>
      </c>
      <c r="B50" s="4">
        <v>24</v>
      </c>
      <c r="C50" s="4" t="s">
        <v>12</v>
      </c>
      <c r="D50" s="4" t="s">
        <v>21</v>
      </c>
      <c r="E50" s="4" t="s">
        <v>32</v>
      </c>
      <c r="F50" s="4">
        <v>2.7</v>
      </c>
      <c r="G50" t="str">
        <f t="shared" si="0"/>
        <v>Moderate User</v>
      </c>
    </row>
    <row r="51" spans="1:9" x14ac:dyDescent="0.25">
      <c r="A51" s="5">
        <v>383</v>
      </c>
      <c r="B51" s="5">
        <v>18</v>
      </c>
      <c r="C51" s="5" t="s">
        <v>18</v>
      </c>
      <c r="D51" s="5" t="s">
        <v>21</v>
      </c>
      <c r="E51" s="5" t="s">
        <v>14</v>
      </c>
      <c r="F51" s="5">
        <v>5.2</v>
      </c>
      <c r="G51" t="str">
        <f t="shared" si="0"/>
        <v>Moderate User</v>
      </c>
    </row>
    <row r="52" spans="1:9" x14ac:dyDescent="0.25">
      <c r="A52" s="4">
        <v>699</v>
      </c>
      <c r="B52" s="4">
        <v>22</v>
      </c>
      <c r="C52" s="4" t="s">
        <v>18</v>
      </c>
      <c r="D52" s="4" t="s">
        <v>21</v>
      </c>
      <c r="E52" s="4" t="s">
        <v>29</v>
      </c>
      <c r="F52" s="4">
        <v>6.5</v>
      </c>
      <c r="G52" t="str">
        <f t="shared" si="0"/>
        <v>High User</v>
      </c>
    </row>
    <row r="53" spans="1:9" x14ac:dyDescent="0.25">
      <c r="A53" s="5">
        <v>302</v>
      </c>
      <c r="B53" s="5">
        <v>21</v>
      </c>
      <c r="C53" s="5" t="s">
        <v>12</v>
      </c>
      <c r="D53" s="5" t="s">
        <v>27</v>
      </c>
      <c r="E53" s="5" t="s">
        <v>33</v>
      </c>
      <c r="F53" s="5">
        <v>6.8</v>
      </c>
      <c r="G53" t="str">
        <f t="shared" si="0"/>
        <v>High User</v>
      </c>
    </row>
    <row r="54" spans="1:9" x14ac:dyDescent="0.25">
      <c r="A54" s="4">
        <v>277</v>
      </c>
      <c r="B54" s="4">
        <v>21</v>
      </c>
      <c r="C54" s="4" t="s">
        <v>12</v>
      </c>
      <c r="D54" s="4" t="s">
        <v>21</v>
      </c>
      <c r="E54" s="4" t="s">
        <v>22</v>
      </c>
      <c r="F54" s="4">
        <v>6.9</v>
      </c>
      <c r="G54" t="str">
        <f t="shared" si="0"/>
        <v>High User</v>
      </c>
    </row>
    <row r="55" spans="1:9" x14ac:dyDescent="0.25">
      <c r="A55" s="5">
        <v>631</v>
      </c>
      <c r="B55" s="5">
        <v>20</v>
      </c>
      <c r="C55" s="5" t="s">
        <v>12</v>
      </c>
      <c r="D55" s="5" t="s">
        <v>13</v>
      </c>
      <c r="E55" s="5" t="s">
        <v>14</v>
      </c>
      <c r="F55" s="5">
        <v>5.5</v>
      </c>
      <c r="G55" t="str">
        <f t="shared" si="0"/>
        <v>Moderate User</v>
      </c>
    </row>
    <row r="57" spans="1:9" x14ac:dyDescent="0.25">
      <c r="A57" s="7" t="s">
        <v>36</v>
      </c>
      <c r="B57" s="8"/>
      <c r="C57" s="8"/>
      <c r="D57" s="8"/>
      <c r="E57" s="8"/>
      <c r="F57" s="9"/>
    </row>
    <row r="58" spans="1:9" x14ac:dyDescent="0.25">
      <c r="A58" s="3" t="s">
        <v>1</v>
      </c>
      <c r="B58" s="3" t="s">
        <v>2</v>
      </c>
      <c r="C58" s="3" t="s">
        <v>3</v>
      </c>
      <c r="D58" s="3" t="s">
        <v>4</v>
      </c>
      <c r="E58" s="3" t="s">
        <v>5</v>
      </c>
      <c r="F58" s="3" t="s">
        <v>6</v>
      </c>
      <c r="G58" s="3" t="s">
        <v>7</v>
      </c>
      <c r="H58" s="3" t="s">
        <v>8</v>
      </c>
      <c r="I58" s="11" t="s">
        <v>43</v>
      </c>
    </row>
    <row r="59" spans="1:9" x14ac:dyDescent="0.25">
      <c r="A59" s="4">
        <v>232</v>
      </c>
      <c r="B59" s="4">
        <v>21</v>
      </c>
      <c r="C59" s="4" t="s">
        <v>12</v>
      </c>
      <c r="D59" s="4" t="s">
        <v>13</v>
      </c>
      <c r="E59" s="4" t="s">
        <v>14</v>
      </c>
      <c r="F59" s="4">
        <v>4</v>
      </c>
      <c r="G59" s="4" t="s">
        <v>15</v>
      </c>
      <c r="H59" s="4" t="s">
        <v>16</v>
      </c>
      <c r="I59" t="str">
        <f>IF(AND(F59&gt;5,H59="Yes"),"At Risk","Good")</f>
        <v>Good</v>
      </c>
    </row>
    <row r="60" spans="1:9" x14ac:dyDescent="0.25">
      <c r="A60" s="5">
        <v>564</v>
      </c>
      <c r="B60" s="5">
        <v>23</v>
      </c>
      <c r="C60" s="5" t="s">
        <v>18</v>
      </c>
      <c r="D60" s="5" t="s">
        <v>13</v>
      </c>
      <c r="E60" s="5" t="s">
        <v>14</v>
      </c>
      <c r="F60" s="5">
        <v>1.6</v>
      </c>
      <c r="G60" s="5" t="s">
        <v>19</v>
      </c>
      <c r="H60" s="5" t="s">
        <v>16</v>
      </c>
      <c r="I60" t="str">
        <f t="shared" ref="I60:I78" si="1">IF(AND(F60&gt;5,H60="Yes"),"At Risk","Good")</f>
        <v>Good</v>
      </c>
    </row>
    <row r="61" spans="1:9" x14ac:dyDescent="0.25">
      <c r="A61" s="4">
        <v>788</v>
      </c>
      <c r="B61" s="4">
        <v>22</v>
      </c>
      <c r="C61" s="4" t="s">
        <v>12</v>
      </c>
      <c r="D61" s="4" t="s">
        <v>21</v>
      </c>
      <c r="E61" s="4" t="s">
        <v>22</v>
      </c>
      <c r="F61" s="4">
        <v>4.5999999999999996</v>
      </c>
      <c r="G61" s="4" t="s">
        <v>23</v>
      </c>
      <c r="H61" s="4" t="s">
        <v>16</v>
      </c>
      <c r="I61" t="str">
        <f t="shared" si="1"/>
        <v>Good</v>
      </c>
    </row>
    <row r="62" spans="1:9" x14ac:dyDescent="0.25">
      <c r="A62" s="5">
        <v>686</v>
      </c>
      <c r="B62" s="5">
        <v>18</v>
      </c>
      <c r="C62" s="5" t="s">
        <v>12</v>
      </c>
      <c r="D62" s="5" t="s">
        <v>13</v>
      </c>
      <c r="E62" s="5" t="s">
        <v>14</v>
      </c>
      <c r="F62" s="5">
        <v>7</v>
      </c>
      <c r="G62" s="5" t="s">
        <v>24</v>
      </c>
      <c r="H62" s="5" t="s">
        <v>25</v>
      </c>
      <c r="I62" t="str">
        <f t="shared" si="1"/>
        <v>At Risk</v>
      </c>
    </row>
    <row r="63" spans="1:9" x14ac:dyDescent="0.25">
      <c r="A63" s="4">
        <v>608</v>
      </c>
      <c r="B63" s="4">
        <v>24</v>
      </c>
      <c r="C63" s="4" t="s">
        <v>18</v>
      </c>
      <c r="D63" s="4" t="s">
        <v>27</v>
      </c>
      <c r="E63" s="4" t="s">
        <v>14</v>
      </c>
      <c r="F63" s="4">
        <v>7.5</v>
      </c>
      <c r="G63" s="4" t="s">
        <v>15</v>
      </c>
      <c r="H63" s="4" t="s">
        <v>25</v>
      </c>
      <c r="I63" t="str">
        <f t="shared" si="1"/>
        <v>At Risk</v>
      </c>
    </row>
    <row r="64" spans="1:9" x14ac:dyDescent="0.25">
      <c r="A64" s="5">
        <v>370</v>
      </c>
      <c r="B64" s="5">
        <v>19</v>
      </c>
      <c r="C64" s="5" t="s">
        <v>18</v>
      </c>
      <c r="D64" s="5" t="s">
        <v>27</v>
      </c>
      <c r="E64" s="5" t="s">
        <v>14</v>
      </c>
      <c r="F64" s="5">
        <v>4.0999999999999996</v>
      </c>
      <c r="G64" s="5" t="s">
        <v>28</v>
      </c>
      <c r="H64" s="5" t="s">
        <v>25</v>
      </c>
      <c r="I64" t="str">
        <f t="shared" si="1"/>
        <v>Good</v>
      </c>
    </row>
    <row r="65" spans="1:9" x14ac:dyDescent="0.25">
      <c r="A65" s="4">
        <v>862</v>
      </c>
      <c r="B65" s="4">
        <v>22</v>
      </c>
      <c r="C65" s="4" t="s">
        <v>18</v>
      </c>
      <c r="D65" s="4" t="s">
        <v>21</v>
      </c>
      <c r="E65" s="4" t="s">
        <v>14</v>
      </c>
      <c r="F65" s="4">
        <v>8</v>
      </c>
      <c r="G65" s="4" t="s">
        <v>23</v>
      </c>
      <c r="H65" s="4" t="s">
        <v>25</v>
      </c>
      <c r="I65" t="str">
        <f t="shared" si="1"/>
        <v>At Risk</v>
      </c>
    </row>
    <row r="66" spans="1:9" x14ac:dyDescent="0.25">
      <c r="A66" s="5">
        <v>520</v>
      </c>
      <c r="B66" s="5">
        <v>21</v>
      </c>
      <c r="C66" s="5" t="s">
        <v>18</v>
      </c>
      <c r="D66" s="5" t="s">
        <v>21</v>
      </c>
      <c r="E66" s="5" t="s">
        <v>14</v>
      </c>
      <c r="F66" s="5">
        <v>6</v>
      </c>
      <c r="G66" s="5" t="s">
        <v>15</v>
      </c>
      <c r="H66" s="5" t="s">
        <v>25</v>
      </c>
      <c r="I66" t="str">
        <f t="shared" si="1"/>
        <v>At Risk</v>
      </c>
    </row>
    <row r="67" spans="1:9" x14ac:dyDescent="0.25">
      <c r="A67" s="4">
        <v>703</v>
      </c>
      <c r="B67" s="4">
        <v>24</v>
      </c>
      <c r="C67" s="4" t="s">
        <v>12</v>
      </c>
      <c r="D67" s="4" t="s">
        <v>13</v>
      </c>
      <c r="E67" s="4" t="s">
        <v>29</v>
      </c>
      <c r="F67" s="4">
        <v>4.7</v>
      </c>
      <c r="G67" s="4" t="s">
        <v>30</v>
      </c>
      <c r="H67" s="4" t="s">
        <v>16</v>
      </c>
      <c r="I67" t="str">
        <f t="shared" si="1"/>
        <v>Good</v>
      </c>
    </row>
    <row r="68" spans="1:9" x14ac:dyDescent="0.25">
      <c r="A68" s="5">
        <v>33</v>
      </c>
      <c r="B68" s="5">
        <v>19</v>
      </c>
      <c r="C68" s="5" t="s">
        <v>12</v>
      </c>
      <c r="D68" s="5" t="s">
        <v>27</v>
      </c>
      <c r="E68" s="5" t="s">
        <v>14</v>
      </c>
      <c r="F68" s="5">
        <v>3.6</v>
      </c>
      <c r="G68" s="5" t="s">
        <v>31</v>
      </c>
      <c r="H68" s="5" t="s">
        <v>16</v>
      </c>
      <c r="I68" t="str">
        <f t="shared" si="1"/>
        <v>Good</v>
      </c>
    </row>
    <row r="69" spans="1:9" x14ac:dyDescent="0.25">
      <c r="A69" s="4">
        <v>519</v>
      </c>
      <c r="B69" s="4">
        <v>18</v>
      </c>
      <c r="C69" s="4" t="s">
        <v>12</v>
      </c>
      <c r="D69" s="4" t="s">
        <v>21</v>
      </c>
      <c r="E69" s="4" t="s">
        <v>14</v>
      </c>
      <c r="F69" s="4">
        <v>4.0999999999999996</v>
      </c>
      <c r="G69" s="4" t="s">
        <v>19</v>
      </c>
      <c r="H69" s="4" t="s">
        <v>16</v>
      </c>
      <c r="I69" t="str">
        <f t="shared" si="1"/>
        <v>Good</v>
      </c>
    </row>
    <row r="70" spans="1:9" x14ac:dyDescent="0.25">
      <c r="A70" s="5">
        <v>738</v>
      </c>
      <c r="B70" s="5">
        <v>18</v>
      </c>
      <c r="C70" s="5" t="s">
        <v>12</v>
      </c>
      <c r="D70" s="5" t="s">
        <v>27</v>
      </c>
      <c r="E70" s="5" t="s">
        <v>14</v>
      </c>
      <c r="F70" s="5">
        <v>7.6</v>
      </c>
      <c r="G70" s="5" t="s">
        <v>24</v>
      </c>
      <c r="H70" s="5" t="s">
        <v>25</v>
      </c>
      <c r="I70" t="str">
        <f t="shared" si="1"/>
        <v>At Risk</v>
      </c>
    </row>
    <row r="71" spans="1:9" x14ac:dyDescent="0.25">
      <c r="A71" s="4">
        <v>119</v>
      </c>
      <c r="B71" s="4">
        <v>20</v>
      </c>
      <c r="C71" s="4" t="s">
        <v>12</v>
      </c>
      <c r="D71" s="4" t="s">
        <v>13</v>
      </c>
      <c r="E71" s="4" t="s">
        <v>14</v>
      </c>
      <c r="F71" s="4">
        <v>2.4</v>
      </c>
      <c r="G71" s="4" t="s">
        <v>15</v>
      </c>
      <c r="H71" s="4" t="s">
        <v>16</v>
      </c>
      <c r="I71" t="str">
        <f t="shared" si="1"/>
        <v>Good</v>
      </c>
    </row>
    <row r="72" spans="1:9" x14ac:dyDescent="0.25">
      <c r="A72" s="5">
        <v>287</v>
      </c>
      <c r="B72" s="5">
        <v>23</v>
      </c>
      <c r="C72" s="5" t="s">
        <v>18</v>
      </c>
      <c r="D72" s="5" t="s">
        <v>13</v>
      </c>
      <c r="E72" s="5" t="s">
        <v>14</v>
      </c>
      <c r="F72" s="5">
        <v>6.2</v>
      </c>
      <c r="G72" s="5" t="s">
        <v>19</v>
      </c>
      <c r="H72" s="5" t="s">
        <v>16</v>
      </c>
      <c r="I72" t="str">
        <f t="shared" si="1"/>
        <v>Good</v>
      </c>
    </row>
    <row r="73" spans="1:9" x14ac:dyDescent="0.25">
      <c r="A73" s="4">
        <v>610</v>
      </c>
      <c r="B73" s="4">
        <v>24</v>
      </c>
      <c r="C73" s="4" t="s">
        <v>12</v>
      </c>
      <c r="D73" s="4" t="s">
        <v>21</v>
      </c>
      <c r="E73" s="4" t="s">
        <v>32</v>
      </c>
      <c r="F73" s="4">
        <v>2.7</v>
      </c>
      <c r="G73" s="4" t="s">
        <v>23</v>
      </c>
      <c r="H73" s="4" t="s">
        <v>16</v>
      </c>
      <c r="I73" t="str">
        <f t="shared" si="1"/>
        <v>Good</v>
      </c>
    </row>
    <row r="74" spans="1:9" x14ac:dyDescent="0.25">
      <c r="A74" s="5">
        <v>383</v>
      </c>
      <c r="B74" s="5">
        <v>18</v>
      </c>
      <c r="C74" s="5" t="s">
        <v>18</v>
      </c>
      <c r="D74" s="5" t="s">
        <v>21</v>
      </c>
      <c r="E74" s="5" t="s">
        <v>14</v>
      </c>
      <c r="F74" s="5">
        <v>5.2</v>
      </c>
      <c r="G74" s="5" t="s">
        <v>28</v>
      </c>
      <c r="H74" s="5" t="s">
        <v>25</v>
      </c>
      <c r="I74" t="str">
        <f t="shared" si="1"/>
        <v>At Risk</v>
      </c>
    </row>
    <row r="75" spans="1:9" x14ac:dyDescent="0.25">
      <c r="A75" s="4">
        <v>699</v>
      </c>
      <c r="B75" s="4">
        <v>22</v>
      </c>
      <c r="C75" s="4" t="s">
        <v>18</v>
      </c>
      <c r="D75" s="4" t="s">
        <v>21</v>
      </c>
      <c r="E75" s="4" t="s">
        <v>29</v>
      </c>
      <c r="F75" s="4">
        <v>6.5</v>
      </c>
      <c r="G75" s="4" t="s">
        <v>30</v>
      </c>
      <c r="H75" s="4" t="s">
        <v>25</v>
      </c>
      <c r="I75" t="str">
        <f t="shared" si="1"/>
        <v>At Risk</v>
      </c>
    </row>
    <row r="76" spans="1:9" x14ac:dyDescent="0.25">
      <c r="A76" s="5">
        <v>302</v>
      </c>
      <c r="B76" s="5">
        <v>21</v>
      </c>
      <c r="C76" s="5" t="s">
        <v>12</v>
      </c>
      <c r="D76" s="5" t="s">
        <v>27</v>
      </c>
      <c r="E76" s="5" t="s">
        <v>33</v>
      </c>
      <c r="F76" s="5">
        <v>6.8</v>
      </c>
      <c r="G76" s="5" t="s">
        <v>30</v>
      </c>
      <c r="H76" s="5" t="s">
        <v>25</v>
      </c>
      <c r="I76" t="str">
        <f t="shared" si="1"/>
        <v>At Risk</v>
      </c>
    </row>
    <row r="77" spans="1:9" x14ac:dyDescent="0.25">
      <c r="A77" s="4">
        <v>277</v>
      </c>
      <c r="B77" s="4">
        <v>21</v>
      </c>
      <c r="C77" s="4" t="s">
        <v>12</v>
      </c>
      <c r="D77" s="4" t="s">
        <v>21</v>
      </c>
      <c r="E77" s="4" t="s">
        <v>22</v>
      </c>
      <c r="F77" s="4">
        <v>6.9</v>
      </c>
      <c r="G77" s="4" t="s">
        <v>15</v>
      </c>
      <c r="H77" s="4" t="s">
        <v>25</v>
      </c>
      <c r="I77" t="str">
        <f t="shared" si="1"/>
        <v>At Risk</v>
      </c>
    </row>
    <row r="78" spans="1:9" x14ac:dyDescent="0.25">
      <c r="A78" s="5">
        <v>631</v>
      </c>
      <c r="B78" s="5">
        <v>20</v>
      </c>
      <c r="C78" s="5" t="s">
        <v>12</v>
      </c>
      <c r="D78" s="5" t="s">
        <v>13</v>
      </c>
      <c r="E78" s="5" t="s">
        <v>14</v>
      </c>
      <c r="F78" s="5">
        <v>5.5</v>
      </c>
      <c r="G78" s="5" t="s">
        <v>23</v>
      </c>
      <c r="H78" s="5" t="s">
        <v>16</v>
      </c>
      <c r="I78" t="str">
        <f t="shared" si="1"/>
        <v>Good</v>
      </c>
    </row>
    <row r="80" spans="1:9" x14ac:dyDescent="0.25">
      <c r="A80" s="7" t="s">
        <v>37</v>
      </c>
      <c r="B80" s="8"/>
      <c r="C80" s="8"/>
      <c r="D80" s="8"/>
      <c r="E80" s="8"/>
      <c r="F80" s="9"/>
    </row>
    <row r="81" spans="1:6" x14ac:dyDescent="0.25">
      <c r="A81" s="3" t="s">
        <v>1</v>
      </c>
      <c r="B81" s="3" t="s">
        <v>2</v>
      </c>
      <c r="C81" s="3" t="s">
        <v>3</v>
      </c>
      <c r="D81" s="3" t="s">
        <v>4</v>
      </c>
      <c r="E81" s="3" t="s">
        <v>5</v>
      </c>
      <c r="F81" s="11" t="s">
        <v>44</v>
      </c>
    </row>
    <row r="82" spans="1:6" x14ac:dyDescent="0.25">
      <c r="A82" s="4">
        <v>232</v>
      </c>
      <c r="B82" s="4">
        <v>21</v>
      </c>
      <c r="C82" s="4" t="s">
        <v>12</v>
      </c>
      <c r="D82" s="4" t="s">
        <v>13</v>
      </c>
      <c r="E82" s="4" t="s">
        <v>14</v>
      </c>
      <c r="F82" t="str">
        <f>IF(OR(E82="USA",E82="Canada"),"North America","Other")</f>
        <v>Other</v>
      </c>
    </row>
    <row r="83" spans="1:6" x14ac:dyDescent="0.25">
      <c r="A83" s="5">
        <v>564</v>
      </c>
      <c r="B83" s="5">
        <v>23</v>
      </c>
      <c r="C83" s="5" t="s">
        <v>18</v>
      </c>
      <c r="D83" s="5" t="s">
        <v>13</v>
      </c>
      <c r="E83" s="5" t="s">
        <v>14</v>
      </c>
      <c r="F83" t="str">
        <f t="shared" ref="F83:F101" si="2">IF(OR(E83="USA",E83="Canada"),"North America","Other")</f>
        <v>Other</v>
      </c>
    </row>
    <row r="84" spans="1:6" x14ac:dyDescent="0.25">
      <c r="A84" s="4">
        <v>788</v>
      </c>
      <c r="B84" s="4">
        <v>22</v>
      </c>
      <c r="C84" s="4" t="s">
        <v>12</v>
      </c>
      <c r="D84" s="4" t="s">
        <v>21</v>
      </c>
      <c r="E84" s="4" t="s">
        <v>22</v>
      </c>
      <c r="F84" t="str">
        <f t="shared" si="2"/>
        <v>North America</v>
      </c>
    </row>
    <row r="85" spans="1:6" x14ac:dyDescent="0.25">
      <c r="A85" s="5">
        <v>686</v>
      </c>
      <c r="B85" s="5">
        <v>18</v>
      </c>
      <c r="C85" s="5" t="s">
        <v>12</v>
      </c>
      <c r="D85" s="5" t="s">
        <v>13</v>
      </c>
      <c r="E85" s="5" t="s">
        <v>14</v>
      </c>
      <c r="F85" t="str">
        <f t="shared" si="2"/>
        <v>Other</v>
      </c>
    </row>
    <row r="86" spans="1:6" x14ac:dyDescent="0.25">
      <c r="A86" s="4">
        <v>608</v>
      </c>
      <c r="B86" s="4">
        <v>24</v>
      </c>
      <c r="C86" s="4" t="s">
        <v>18</v>
      </c>
      <c r="D86" s="4" t="s">
        <v>27</v>
      </c>
      <c r="E86" s="4" t="s">
        <v>14</v>
      </c>
      <c r="F86" t="str">
        <f t="shared" si="2"/>
        <v>Other</v>
      </c>
    </row>
    <row r="87" spans="1:6" x14ac:dyDescent="0.25">
      <c r="A87" s="5">
        <v>370</v>
      </c>
      <c r="B87" s="5">
        <v>19</v>
      </c>
      <c r="C87" s="5" t="s">
        <v>18</v>
      </c>
      <c r="D87" s="5" t="s">
        <v>27</v>
      </c>
      <c r="E87" s="5" t="s">
        <v>14</v>
      </c>
      <c r="F87" t="str">
        <f t="shared" si="2"/>
        <v>Other</v>
      </c>
    </row>
    <row r="88" spans="1:6" x14ac:dyDescent="0.25">
      <c r="A88" s="4">
        <v>862</v>
      </c>
      <c r="B88" s="4">
        <v>22</v>
      </c>
      <c r="C88" s="4" t="s">
        <v>18</v>
      </c>
      <c r="D88" s="4" t="s">
        <v>21</v>
      </c>
      <c r="E88" s="4" t="s">
        <v>14</v>
      </c>
      <c r="F88" t="str">
        <f t="shared" si="2"/>
        <v>Other</v>
      </c>
    </row>
    <row r="89" spans="1:6" x14ac:dyDescent="0.25">
      <c r="A89" s="5">
        <v>520</v>
      </c>
      <c r="B89" s="5">
        <v>21</v>
      </c>
      <c r="C89" s="5" t="s">
        <v>18</v>
      </c>
      <c r="D89" s="5" t="s">
        <v>21</v>
      </c>
      <c r="E89" s="5" t="s">
        <v>14</v>
      </c>
      <c r="F89" t="str">
        <f t="shared" si="2"/>
        <v>Other</v>
      </c>
    </row>
    <row r="90" spans="1:6" x14ac:dyDescent="0.25">
      <c r="A90" s="4">
        <v>703</v>
      </c>
      <c r="B90" s="4">
        <v>24</v>
      </c>
      <c r="C90" s="4" t="s">
        <v>12</v>
      </c>
      <c r="D90" s="4" t="s">
        <v>13</v>
      </c>
      <c r="E90" s="4" t="s">
        <v>29</v>
      </c>
      <c r="F90" t="str">
        <f t="shared" si="2"/>
        <v>North America</v>
      </c>
    </row>
    <row r="91" spans="1:6" x14ac:dyDescent="0.25">
      <c r="A91" s="5">
        <v>33</v>
      </c>
      <c r="B91" s="5">
        <v>19</v>
      </c>
      <c r="C91" s="5" t="s">
        <v>12</v>
      </c>
      <c r="D91" s="5" t="s">
        <v>27</v>
      </c>
      <c r="E91" s="5" t="s">
        <v>14</v>
      </c>
      <c r="F91" t="str">
        <f t="shared" si="2"/>
        <v>Other</v>
      </c>
    </row>
    <row r="92" spans="1:6" x14ac:dyDescent="0.25">
      <c r="A92" s="4">
        <v>519</v>
      </c>
      <c r="B92" s="4">
        <v>18</v>
      </c>
      <c r="C92" s="4" t="s">
        <v>12</v>
      </c>
      <c r="D92" s="4" t="s">
        <v>21</v>
      </c>
      <c r="E92" s="4" t="s">
        <v>14</v>
      </c>
      <c r="F92" t="str">
        <f t="shared" si="2"/>
        <v>Other</v>
      </c>
    </row>
    <row r="93" spans="1:6" x14ac:dyDescent="0.25">
      <c r="A93" s="5">
        <v>738</v>
      </c>
      <c r="B93" s="5">
        <v>18</v>
      </c>
      <c r="C93" s="5" t="s">
        <v>12</v>
      </c>
      <c r="D93" s="5" t="s">
        <v>27</v>
      </c>
      <c r="E93" s="5" t="s">
        <v>14</v>
      </c>
      <c r="F93" t="str">
        <f t="shared" si="2"/>
        <v>Other</v>
      </c>
    </row>
    <row r="94" spans="1:6" x14ac:dyDescent="0.25">
      <c r="A94" s="4">
        <v>119</v>
      </c>
      <c r="B94" s="4">
        <v>20</v>
      </c>
      <c r="C94" s="4" t="s">
        <v>12</v>
      </c>
      <c r="D94" s="4" t="s">
        <v>13</v>
      </c>
      <c r="E94" s="4" t="s">
        <v>14</v>
      </c>
      <c r="F94" t="str">
        <f t="shared" si="2"/>
        <v>Other</v>
      </c>
    </row>
    <row r="95" spans="1:6" x14ac:dyDescent="0.25">
      <c r="A95" s="5">
        <v>287</v>
      </c>
      <c r="B95" s="5">
        <v>23</v>
      </c>
      <c r="C95" s="5" t="s">
        <v>18</v>
      </c>
      <c r="D95" s="5" t="s">
        <v>13</v>
      </c>
      <c r="E95" s="5" t="s">
        <v>14</v>
      </c>
      <c r="F95" t="str">
        <f t="shared" si="2"/>
        <v>Other</v>
      </c>
    </row>
    <row r="96" spans="1:6" x14ac:dyDescent="0.25">
      <c r="A96" s="4">
        <v>610</v>
      </c>
      <c r="B96" s="4">
        <v>24</v>
      </c>
      <c r="C96" s="4" t="s">
        <v>12</v>
      </c>
      <c r="D96" s="4" t="s">
        <v>21</v>
      </c>
      <c r="E96" s="4" t="s">
        <v>32</v>
      </c>
      <c r="F96" t="str">
        <f t="shared" si="2"/>
        <v>Other</v>
      </c>
    </row>
    <row r="97" spans="1:11" x14ac:dyDescent="0.25">
      <c r="A97" s="5">
        <v>383</v>
      </c>
      <c r="B97" s="5">
        <v>18</v>
      </c>
      <c r="C97" s="5" t="s">
        <v>18</v>
      </c>
      <c r="D97" s="5" t="s">
        <v>21</v>
      </c>
      <c r="E97" s="5" t="s">
        <v>14</v>
      </c>
      <c r="F97" t="str">
        <f t="shared" si="2"/>
        <v>Other</v>
      </c>
    </row>
    <row r="98" spans="1:11" x14ac:dyDescent="0.25">
      <c r="A98" s="4">
        <v>699</v>
      </c>
      <c r="B98" s="4">
        <v>22</v>
      </c>
      <c r="C98" s="4" t="s">
        <v>18</v>
      </c>
      <c r="D98" s="4" t="s">
        <v>21</v>
      </c>
      <c r="E98" s="4" t="s">
        <v>29</v>
      </c>
      <c r="F98" t="str">
        <f t="shared" si="2"/>
        <v>North America</v>
      </c>
    </row>
    <row r="99" spans="1:11" x14ac:dyDescent="0.25">
      <c r="A99" s="5">
        <v>302</v>
      </c>
      <c r="B99" s="5">
        <v>21</v>
      </c>
      <c r="C99" s="5" t="s">
        <v>12</v>
      </c>
      <c r="D99" s="5" t="s">
        <v>27</v>
      </c>
      <c r="E99" s="5" t="s">
        <v>33</v>
      </c>
      <c r="F99" t="str">
        <f t="shared" si="2"/>
        <v>Other</v>
      </c>
    </row>
    <row r="100" spans="1:11" x14ac:dyDescent="0.25">
      <c r="A100" s="4">
        <v>277</v>
      </c>
      <c r="B100" s="4">
        <v>21</v>
      </c>
      <c r="C100" s="4" t="s">
        <v>12</v>
      </c>
      <c r="D100" s="4" t="s">
        <v>21</v>
      </c>
      <c r="E100" s="4" t="s">
        <v>22</v>
      </c>
      <c r="F100" t="str">
        <f t="shared" si="2"/>
        <v>North America</v>
      </c>
    </row>
    <row r="101" spans="1:11" x14ac:dyDescent="0.25">
      <c r="A101" s="5">
        <v>631</v>
      </c>
      <c r="B101" s="5">
        <v>20</v>
      </c>
      <c r="C101" s="5" t="s">
        <v>12</v>
      </c>
      <c r="D101" s="5" t="s">
        <v>13</v>
      </c>
      <c r="E101" s="5" t="s">
        <v>14</v>
      </c>
      <c r="F101" t="str">
        <f t="shared" si="2"/>
        <v>Other</v>
      </c>
    </row>
    <row r="103" spans="1:11" x14ac:dyDescent="0.25">
      <c r="A103" s="7" t="s">
        <v>38</v>
      </c>
      <c r="B103" s="8"/>
      <c r="C103" s="8"/>
      <c r="D103" s="8"/>
      <c r="E103" s="8"/>
      <c r="F103" s="9"/>
    </row>
    <row r="104" spans="1:11" ht="25.5" x14ac:dyDescent="0.25">
      <c r="A104" s="3" t="s">
        <v>1</v>
      </c>
      <c r="B104" s="3" t="s">
        <v>2</v>
      </c>
      <c r="C104" s="3" t="s">
        <v>3</v>
      </c>
      <c r="D104" s="3" t="s">
        <v>4</v>
      </c>
      <c r="E104" s="3" t="s">
        <v>5</v>
      </c>
      <c r="F104" s="3" t="s">
        <v>6</v>
      </c>
      <c r="G104" s="3" t="s">
        <v>7</v>
      </c>
      <c r="H104" s="3" t="s">
        <v>8</v>
      </c>
      <c r="I104" s="3" t="s">
        <v>9</v>
      </c>
      <c r="J104" s="3" t="s">
        <v>10</v>
      </c>
      <c r="K104" s="11" t="s">
        <v>43</v>
      </c>
    </row>
    <row r="105" spans="1:11" x14ac:dyDescent="0.25">
      <c r="A105" s="4">
        <v>232</v>
      </c>
      <c r="B105" s="4">
        <v>21</v>
      </c>
      <c r="C105" s="4" t="s">
        <v>12</v>
      </c>
      <c r="D105" s="4" t="s">
        <v>13</v>
      </c>
      <c r="E105" s="4" t="s">
        <v>14</v>
      </c>
      <c r="F105" s="4">
        <v>4</v>
      </c>
      <c r="G105" s="4" t="s">
        <v>15</v>
      </c>
      <c r="H105" s="4" t="s">
        <v>16</v>
      </c>
      <c r="I105" s="4">
        <v>6.7</v>
      </c>
      <c r="J105" s="4">
        <v>6.8</v>
      </c>
      <c r="K105" t="str">
        <f>IF(J105&gt;=7,"Healthy",IF(J105&gt;=5,"Moderate","low"))</f>
        <v>Moderate</v>
      </c>
    </row>
    <row r="106" spans="1:11" x14ac:dyDescent="0.25">
      <c r="A106" s="5">
        <v>564</v>
      </c>
      <c r="B106" s="5">
        <v>23</v>
      </c>
      <c r="C106" s="5" t="s">
        <v>18</v>
      </c>
      <c r="D106" s="5" t="s">
        <v>13</v>
      </c>
      <c r="E106" s="5" t="s">
        <v>14</v>
      </c>
      <c r="F106" s="5">
        <v>1.6</v>
      </c>
      <c r="G106" s="5" t="s">
        <v>19</v>
      </c>
      <c r="H106" s="5" t="s">
        <v>16</v>
      </c>
      <c r="I106" s="5">
        <v>8.6</v>
      </c>
      <c r="J106" s="5">
        <v>7.6</v>
      </c>
      <c r="K106" t="str">
        <f t="shared" ref="K106:K124" si="3">IF(J106&gt;=7,"Healthy",IF(J106&gt;=5,"Moderate","low"))</f>
        <v>Healthy</v>
      </c>
    </row>
    <row r="107" spans="1:11" x14ac:dyDescent="0.25">
      <c r="A107" s="4">
        <v>788</v>
      </c>
      <c r="B107" s="4">
        <v>22</v>
      </c>
      <c r="C107" s="4" t="s">
        <v>12</v>
      </c>
      <c r="D107" s="4" t="s">
        <v>21</v>
      </c>
      <c r="E107" s="4" t="s">
        <v>22</v>
      </c>
      <c r="F107" s="4">
        <v>4.5999999999999996</v>
      </c>
      <c r="G107" s="4" t="s">
        <v>23</v>
      </c>
      <c r="H107" s="4" t="s">
        <v>16</v>
      </c>
      <c r="I107" s="4">
        <v>6.7</v>
      </c>
      <c r="J107" s="4">
        <v>7</v>
      </c>
      <c r="K107" t="str">
        <f t="shared" si="3"/>
        <v>Healthy</v>
      </c>
    </row>
    <row r="108" spans="1:11" x14ac:dyDescent="0.25">
      <c r="A108" s="5">
        <v>686</v>
      </c>
      <c r="B108" s="5">
        <v>18</v>
      </c>
      <c r="C108" s="5" t="s">
        <v>12</v>
      </c>
      <c r="D108" s="5" t="s">
        <v>13</v>
      </c>
      <c r="E108" s="5" t="s">
        <v>14</v>
      </c>
      <c r="F108" s="5">
        <v>7</v>
      </c>
      <c r="G108" s="5" t="s">
        <v>24</v>
      </c>
      <c r="H108" s="5" t="s">
        <v>25</v>
      </c>
      <c r="I108" s="5">
        <v>5.4</v>
      </c>
      <c r="J108" s="5">
        <v>5.3</v>
      </c>
      <c r="K108" t="str">
        <f t="shared" si="3"/>
        <v>Moderate</v>
      </c>
    </row>
    <row r="109" spans="1:11" x14ac:dyDescent="0.25">
      <c r="A109" s="4">
        <v>608</v>
      </c>
      <c r="B109" s="4">
        <v>24</v>
      </c>
      <c r="C109" s="4" t="s">
        <v>18</v>
      </c>
      <c r="D109" s="4" t="s">
        <v>27</v>
      </c>
      <c r="E109" s="4" t="s">
        <v>14</v>
      </c>
      <c r="F109" s="4">
        <v>7.5</v>
      </c>
      <c r="G109" s="4" t="s">
        <v>15</v>
      </c>
      <c r="H109" s="4" t="s">
        <v>25</v>
      </c>
      <c r="I109" s="4">
        <v>5</v>
      </c>
      <c r="J109" s="4">
        <v>4.4000000000000004</v>
      </c>
      <c r="K109" t="str">
        <f t="shared" si="3"/>
        <v>low</v>
      </c>
    </row>
    <row r="110" spans="1:11" x14ac:dyDescent="0.25">
      <c r="A110" s="5">
        <v>370</v>
      </c>
      <c r="B110" s="5">
        <v>19</v>
      </c>
      <c r="C110" s="5" t="s">
        <v>18</v>
      </c>
      <c r="D110" s="5" t="s">
        <v>27</v>
      </c>
      <c r="E110" s="5" t="s">
        <v>14</v>
      </c>
      <c r="F110" s="5">
        <v>4.0999999999999996</v>
      </c>
      <c r="G110" s="5" t="s">
        <v>28</v>
      </c>
      <c r="H110" s="5" t="s">
        <v>25</v>
      </c>
      <c r="I110" s="5">
        <v>6.8</v>
      </c>
      <c r="J110" s="5">
        <v>6.8</v>
      </c>
      <c r="K110" t="str">
        <f t="shared" si="3"/>
        <v>Moderate</v>
      </c>
    </row>
    <row r="111" spans="1:11" x14ac:dyDescent="0.25">
      <c r="A111" s="4">
        <v>862</v>
      </c>
      <c r="B111" s="4">
        <v>22</v>
      </c>
      <c r="C111" s="4" t="s">
        <v>18</v>
      </c>
      <c r="D111" s="4" t="s">
        <v>21</v>
      </c>
      <c r="E111" s="4" t="s">
        <v>14</v>
      </c>
      <c r="F111" s="4">
        <v>8</v>
      </c>
      <c r="G111" s="4" t="s">
        <v>23</v>
      </c>
      <c r="H111" s="4" t="s">
        <v>25</v>
      </c>
      <c r="I111" s="4">
        <v>5.2</v>
      </c>
      <c r="J111" s="4">
        <v>5.3</v>
      </c>
      <c r="K111" t="str">
        <f t="shared" si="3"/>
        <v>Moderate</v>
      </c>
    </row>
    <row r="112" spans="1:11" x14ac:dyDescent="0.25">
      <c r="A112" s="5">
        <v>520</v>
      </c>
      <c r="B112" s="5">
        <v>21</v>
      </c>
      <c r="C112" s="5" t="s">
        <v>18</v>
      </c>
      <c r="D112" s="5" t="s">
        <v>21</v>
      </c>
      <c r="E112" s="5" t="s">
        <v>14</v>
      </c>
      <c r="F112" s="5">
        <v>6</v>
      </c>
      <c r="G112" s="5" t="s">
        <v>15</v>
      </c>
      <c r="H112" s="5" t="s">
        <v>25</v>
      </c>
      <c r="I112" s="5">
        <v>5.7</v>
      </c>
      <c r="J112" s="5">
        <v>4.7</v>
      </c>
      <c r="K112" t="str">
        <f t="shared" si="3"/>
        <v>low</v>
      </c>
    </row>
    <row r="113" spans="1:11" x14ac:dyDescent="0.25">
      <c r="A113" s="4">
        <v>703</v>
      </c>
      <c r="B113" s="4">
        <v>24</v>
      </c>
      <c r="C113" s="4" t="s">
        <v>12</v>
      </c>
      <c r="D113" s="4" t="s">
        <v>13</v>
      </c>
      <c r="E113" s="4" t="s">
        <v>29</v>
      </c>
      <c r="F113" s="4">
        <v>4.7</v>
      </c>
      <c r="G113" s="4" t="s">
        <v>30</v>
      </c>
      <c r="H113" s="4" t="s">
        <v>16</v>
      </c>
      <c r="I113" s="4">
        <v>7</v>
      </c>
      <c r="J113" s="4">
        <v>6.2</v>
      </c>
      <c r="K113" t="str">
        <f t="shared" si="3"/>
        <v>Moderate</v>
      </c>
    </row>
    <row r="114" spans="1:11" x14ac:dyDescent="0.25">
      <c r="A114" s="5">
        <v>33</v>
      </c>
      <c r="B114" s="5">
        <v>19</v>
      </c>
      <c r="C114" s="5" t="s">
        <v>12</v>
      </c>
      <c r="D114" s="5" t="s">
        <v>27</v>
      </c>
      <c r="E114" s="5" t="s">
        <v>14</v>
      </c>
      <c r="F114" s="5">
        <v>3.6</v>
      </c>
      <c r="G114" s="5" t="s">
        <v>31</v>
      </c>
      <c r="H114" s="5" t="s">
        <v>16</v>
      </c>
      <c r="I114" s="5">
        <v>8.1</v>
      </c>
      <c r="J114" s="5">
        <v>8.6</v>
      </c>
      <c r="K114" t="str">
        <f t="shared" si="3"/>
        <v>Healthy</v>
      </c>
    </row>
    <row r="115" spans="1:11" x14ac:dyDescent="0.25">
      <c r="A115" s="4">
        <v>519</v>
      </c>
      <c r="B115" s="4">
        <v>18</v>
      </c>
      <c r="C115" s="4" t="s">
        <v>12</v>
      </c>
      <c r="D115" s="4" t="s">
        <v>21</v>
      </c>
      <c r="E115" s="4" t="s">
        <v>14</v>
      </c>
      <c r="F115" s="4">
        <v>4.0999999999999996</v>
      </c>
      <c r="G115" s="4" t="s">
        <v>19</v>
      </c>
      <c r="H115" s="4" t="s">
        <v>16</v>
      </c>
      <c r="I115" s="4">
        <v>7.3</v>
      </c>
      <c r="J115" s="4">
        <v>6.8</v>
      </c>
      <c r="K115" t="str">
        <f t="shared" si="3"/>
        <v>Moderate</v>
      </c>
    </row>
    <row r="116" spans="1:11" x14ac:dyDescent="0.25">
      <c r="A116" s="5">
        <v>738</v>
      </c>
      <c r="B116" s="5">
        <v>18</v>
      </c>
      <c r="C116" s="5" t="s">
        <v>12</v>
      </c>
      <c r="D116" s="5" t="s">
        <v>27</v>
      </c>
      <c r="E116" s="5" t="s">
        <v>14</v>
      </c>
      <c r="F116" s="5">
        <v>7.6</v>
      </c>
      <c r="G116" s="5" t="s">
        <v>24</v>
      </c>
      <c r="H116" s="5" t="s">
        <v>25</v>
      </c>
      <c r="I116" s="5">
        <v>5.3</v>
      </c>
      <c r="J116" s="5">
        <v>5.5</v>
      </c>
      <c r="K116" t="str">
        <f t="shared" si="3"/>
        <v>Moderate</v>
      </c>
    </row>
    <row r="117" spans="1:11" x14ac:dyDescent="0.25">
      <c r="A117" s="4">
        <v>119</v>
      </c>
      <c r="B117" s="4">
        <v>20</v>
      </c>
      <c r="C117" s="4" t="s">
        <v>12</v>
      </c>
      <c r="D117" s="4" t="s">
        <v>13</v>
      </c>
      <c r="E117" s="4" t="s">
        <v>14</v>
      </c>
      <c r="F117" s="4">
        <v>2.4</v>
      </c>
      <c r="G117" s="4" t="s">
        <v>15</v>
      </c>
      <c r="H117" s="4" t="s">
        <v>16</v>
      </c>
      <c r="I117" s="4">
        <v>8.8000000000000007</v>
      </c>
      <c r="J117" s="4">
        <v>8.5</v>
      </c>
      <c r="K117" t="str">
        <f t="shared" si="3"/>
        <v>Healthy</v>
      </c>
    </row>
    <row r="118" spans="1:11" x14ac:dyDescent="0.25">
      <c r="A118" s="5">
        <v>287</v>
      </c>
      <c r="B118" s="5">
        <v>23</v>
      </c>
      <c r="C118" s="5" t="s">
        <v>18</v>
      </c>
      <c r="D118" s="5" t="s">
        <v>13</v>
      </c>
      <c r="E118" s="5" t="s">
        <v>14</v>
      </c>
      <c r="F118" s="5">
        <v>6.2</v>
      </c>
      <c r="G118" s="5" t="s">
        <v>19</v>
      </c>
      <c r="H118" s="5" t="s">
        <v>16</v>
      </c>
      <c r="I118" s="5">
        <v>5.3</v>
      </c>
      <c r="J118" s="5">
        <v>5.4</v>
      </c>
      <c r="K118" t="str">
        <f t="shared" si="3"/>
        <v>Moderate</v>
      </c>
    </row>
    <row r="119" spans="1:11" x14ac:dyDescent="0.25">
      <c r="A119" s="4">
        <v>610</v>
      </c>
      <c r="B119" s="4">
        <v>24</v>
      </c>
      <c r="C119" s="4" t="s">
        <v>12</v>
      </c>
      <c r="D119" s="4" t="s">
        <v>21</v>
      </c>
      <c r="E119" s="4" t="s">
        <v>32</v>
      </c>
      <c r="F119" s="4">
        <v>2.7</v>
      </c>
      <c r="G119" s="4" t="s">
        <v>23</v>
      </c>
      <c r="H119" s="4" t="s">
        <v>16</v>
      </c>
      <c r="I119" s="4">
        <v>8.6</v>
      </c>
      <c r="J119" s="4">
        <v>7.8</v>
      </c>
      <c r="K119" t="str">
        <f t="shared" si="3"/>
        <v>Healthy</v>
      </c>
    </row>
    <row r="120" spans="1:11" x14ac:dyDescent="0.25">
      <c r="A120" s="5">
        <v>383</v>
      </c>
      <c r="B120" s="5">
        <v>18</v>
      </c>
      <c r="C120" s="5" t="s">
        <v>18</v>
      </c>
      <c r="D120" s="5" t="s">
        <v>21</v>
      </c>
      <c r="E120" s="5" t="s">
        <v>14</v>
      </c>
      <c r="F120" s="5">
        <v>5.2</v>
      </c>
      <c r="G120" s="5" t="s">
        <v>28</v>
      </c>
      <c r="H120" s="5" t="s">
        <v>25</v>
      </c>
      <c r="I120" s="5">
        <v>7</v>
      </c>
      <c r="J120" s="5">
        <v>6.3</v>
      </c>
      <c r="K120" t="str">
        <f t="shared" si="3"/>
        <v>Moderate</v>
      </c>
    </row>
    <row r="121" spans="1:11" x14ac:dyDescent="0.25">
      <c r="A121" s="4">
        <v>699</v>
      </c>
      <c r="B121" s="4">
        <v>22</v>
      </c>
      <c r="C121" s="4" t="s">
        <v>18</v>
      </c>
      <c r="D121" s="4" t="s">
        <v>21</v>
      </c>
      <c r="E121" s="4" t="s">
        <v>29</v>
      </c>
      <c r="F121" s="4">
        <v>6.5</v>
      </c>
      <c r="G121" s="4" t="s">
        <v>30</v>
      </c>
      <c r="H121" s="4" t="s">
        <v>25</v>
      </c>
      <c r="I121" s="4">
        <v>5.4</v>
      </c>
      <c r="J121" s="4">
        <v>5</v>
      </c>
      <c r="K121" t="str">
        <f t="shared" si="3"/>
        <v>Moderate</v>
      </c>
    </row>
    <row r="122" spans="1:11" x14ac:dyDescent="0.25">
      <c r="A122" s="5">
        <v>302</v>
      </c>
      <c r="B122" s="5">
        <v>21</v>
      </c>
      <c r="C122" s="5" t="s">
        <v>12</v>
      </c>
      <c r="D122" s="5" t="s">
        <v>27</v>
      </c>
      <c r="E122" s="5" t="s">
        <v>33</v>
      </c>
      <c r="F122" s="5">
        <v>6.8</v>
      </c>
      <c r="G122" s="5" t="s">
        <v>30</v>
      </c>
      <c r="H122" s="5" t="s">
        <v>25</v>
      </c>
      <c r="I122" s="5">
        <v>5.7</v>
      </c>
      <c r="J122" s="5">
        <v>5</v>
      </c>
      <c r="K122" t="str">
        <f t="shared" si="3"/>
        <v>Moderate</v>
      </c>
    </row>
    <row r="123" spans="1:11" x14ac:dyDescent="0.25">
      <c r="A123" s="4">
        <v>277</v>
      </c>
      <c r="B123" s="4">
        <v>21</v>
      </c>
      <c r="C123" s="4" t="s">
        <v>12</v>
      </c>
      <c r="D123" s="4" t="s">
        <v>21</v>
      </c>
      <c r="E123" s="4" t="s">
        <v>22</v>
      </c>
      <c r="F123" s="4">
        <v>6.9</v>
      </c>
      <c r="G123" s="4" t="s">
        <v>15</v>
      </c>
      <c r="H123" s="4" t="s">
        <v>25</v>
      </c>
      <c r="I123" s="4">
        <v>5.9</v>
      </c>
      <c r="J123" s="4">
        <v>5</v>
      </c>
      <c r="K123" t="str">
        <f t="shared" si="3"/>
        <v>Moderate</v>
      </c>
    </row>
    <row r="124" spans="1:11" x14ac:dyDescent="0.25">
      <c r="A124" s="5">
        <v>631</v>
      </c>
      <c r="B124" s="5">
        <v>20</v>
      </c>
      <c r="C124" s="5" t="s">
        <v>12</v>
      </c>
      <c r="D124" s="5" t="s">
        <v>13</v>
      </c>
      <c r="E124" s="5" t="s">
        <v>14</v>
      </c>
      <c r="F124" s="5">
        <v>5.5</v>
      </c>
      <c r="G124" s="5" t="s">
        <v>23</v>
      </c>
      <c r="H124" s="5" t="s">
        <v>16</v>
      </c>
      <c r="I124" s="5">
        <v>6.8</v>
      </c>
      <c r="J124" s="5">
        <v>6.8</v>
      </c>
      <c r="K124" t="str">
        <f t="shared" si="3"/>
        <v>Moderate</v>
      </c>
    </row>
    <row r="126" spans="1:11" x14ac:dyDescent="0.25">
      <c r="A126" s="7" t="s">
        <v>39</v>
      </c>
      <c r="B126" s="8"/>
      <c r="C126" s="8"/>
      <c r="D126" s="8"/>
      <c r="E126" s="8"/>
      <c r="F126" s="9"/>
    </row>
    <row r="127" spans="1:11" x14ac:dyDescent="0.25">
      <c r="A127" s="3" t="s">
        <v>1</v>
      </c>
      <c r="B127" s="3" t="s">
        <v>2</v>
      </c>
      <c r="C127" s="3" t="s">
        <v>3</v>
      </c>
      <c r="D127" s="3" t="s">
        <v>4</v>
      </c>
      <c r="E127" s="3" t="s">
        <v>5</v>
      </c>
      <c r="F127" s="3" t="s">
        <v>6</v>
      </c>
      <c r="G127" s="3" t="s">
        <v>7</v>
      </c>
      <c r="H127" s="3" t="s">
        <v>8</v>
      </c>
      <c r="I127" s="3" t="s">
        <v>9</v>
      </c>
      <c r="J127" s="11" t="s">
        <v>43</v>
      </c>
    </row>
    <row r="128" spans="1:11" x14ac:dyDescent="0.25">
      <c r="A128" s="4">
        <v>232</v>
      </c>
      <c r="B128" s="4">
        <v>21</v>
      </c>
      <c r="C128" s="4" t="s">
        <v>12</v>
      </c>
      <c r="D128" s="4" t="s">
        <v>13</v>
      </c>
      <c r="E128" s="4" t="s">
        <v>14</v>
      </c>
      <c r="F128" s="4">
        <v>4</v>
      </c>
      <c r="G128" s="4" t="s">
        <v>15</v>
      </c>
      <c r="H128" s="4" t="s">
        <v>16</v>
      </c>
      <c r="I128" s="4">
        <v>6.7</v>
      </c>
      <c r="J128">
        <f>IFERROR(I128/F128,"Impossible")</f>
        <v>1.675</v>
      </c>
    </row>
    <row r="129" spans="1:10" x14ac:dyDescent="0.25">
      <c r="A129" s="5">
        <v>564</v>
      </c>
      <c r="B129" s="5">
        <v>23</v>
      </c>
      <c r="C129" s="5" t="s">
        <v>18</v>
      </c>
      <c r="D129" s="5" t="s">
        <v>13</v>
      </c>
      <c r="E129" s="5" t="s">
        <v>14</v>
      </c>
      <c r="F129" s="5">
        <v>1.6</v>
      </c>
      <c r="G129" s="5" t="s">
        <v>19</v>
      </c>
      <c r="H129" s="5" t="s">
        <v>16</v>
      </c>
      <c r="I129" s="5">
        <v>8.6</v>
      </c>
      <c r="J129">
        <f t="shared" ref="J129:J147" si="4">IFERROR(I129/F129,"Impossible")</f>
        <v>5.3749999999999991</v>
      </c>
    </row>
    <row r="130" spans="1:10" x14ac:dyDescent="0.25">
      <c r="A130" s="4">
        <v>788</v>
      </c>
      <c r="B130" s="4">
        <v>22</v>
      </c>
      <c r="C130" s="4" t="s">
        <v>12</v>
      </c>
      <c r="D130" s="4" t="s">
        <v>21</v>
      </c>
      <c r="E130" s="4" t="s">
        <v>22</v>
      </c>
      <c r="F130" s="4">
        <v>4.5999999999999996</v>
      </c>
      <c r="G130" s="4" t="s">
        <v>23</v>
      </c>
      <c r="H130" s="4" t="s">
        <v>16</v>
      </c>
      <c r="I130" s="4">
        <v>6.7</v>
      </c>
      <c r="J130">
        <f t="shared" si="4"/>
        <v>1.456521739130435</v>
      </c>
    </row>
    <row r="131" spans="1:10" x14ac:dyDescent="0.25">
      <c r="A131" s="5">
        <v>686</v>
      </c>
      <c r="B131" s="5">
        <v>18</v>
      </c>
      <c r="C131" s="5" t="s">
        <v>12</v>
      </c>
      <c r="D131" s="5" t="s">
        <v>13</v>
      </c>
      <c r="E131" s="5" t="s">
        <v>14</v>
      </c>
      <c r="F131" s="5">
        <v>7</v>
      </c>
      <c r="G131" s="5" t="s">
        <v>24</v>
      </c>
      <c r="H131" s="5" t="s">
        <v>25</v>
      </c>
      <c r="I131" s="5">
        <v>5.4</v>
      </c>
      <c r="J131">
        <f t="shared" si="4"/>
        <v>0.77142857142857146</v>
      </c>
    </row>
    <row r="132" spans="1:10" x14ac:dyDescent="0.25">
      <c r="A132" s="4">
        <v>608</v>
      </c>
      <c r="B132" s="4">
        <v>24</v>
      </c>
      <c r="C132" s="4" t="s">
        <v>18</v>
      </c>
      <c r="D132" s="4" t="s">
        <v>27</v>
      </c>
      <c r="E132" s="4" t="s">
        <v>14</v>
      </c>
      <c r="F132" s="4">
        <v>7.5</v>
      </c>
      <c r="G132" s="4" t="s">
        <v>15</v>
      </c>
      <c r="H132" s="4" t="s">
        <v>25</v>
      </c>
      <c r="I132" s="4">
        <v>5</v>
      </c>
      <c r="J132">
        <f t="shared" si="4"/>
        <v>0.66666666666666663</v>
      </c>
    </row>
    <row r="133" spans="1:10" x14ac:dyDescent="0.25">
      <c r="A133" s="5">
        <v>370</v>
      </c>
      <c r="B133" s="5">
        <v>19</v>
      </c>
      <c r="C133" s="5" t="s">
        <v>18</v>
      </c>
      <c r="D133" s="5" t="s">
        <v>27</v>
      </c>
      <c r="E133" s="5" t="s">
        <v>14</v>
      </c>
      <c r="F133" s="5">
        <v>4.0999999999999996</v>
      </c>
      <c r="G133" s="5" t="s">
        <v>28</v>
      </c>
      <c r="H133" s="5" t="s">
        <v>25</v>
      </c>
      <c r="I133" s="5">
        <v>6.8</v>
      </c>
      <c r="J133">
        <f t="shared" si="4"/>
        <v>1.6585365853658538</v>
      </c>
    </row>
    <row r="134" spans="1:10" x14ac:dyDescent="0.25">
      <c r="A134" s="4">
        <v>862</v>
      </c>
      <c r="B134" s="4">
        <v>22</v>
      </c>
      <c r="C134" s="4" t="s">
        <v>18</v>
      </c>
      <c r="D134" s="4" t="s">
        <v>21</v>
      </c>
      <c r="E134" s="4" t="s">
        <v>14</v>
      </c>
      <c r="F134" s="4">
        <v>8</v>
      </c>
      <c r="G134" s="4" t="s">
        <v>23</v>
      </c>
      <c r="H134" s="4" t="s">
        <v>25</v>
      </c>
      <c r="I134" s="4">
        <v>5.2</v>
      </c>
      <c r="J134">
        <f t="shared" si="4"/>
        <v>0.65</v>
      </c>
    </row>
    <row r="135" spans="1:10" x14ac:dyDescent="0.25">
      <c r="A135" s="5">
        <v>520</v>
      </c>
      <c r="B135" s="5">
        <v>21</v>
      </c>
      <c r="C135" s="5" t="s">
        <v>18</v>
      </c>
      <c r="D135" s="5" t="s">
        <v>21</v>
      </c>
      <c r="E135" s="5" t="s">
        <v>14</v>
      </c>
      <c r="F135" s="5">
        <v>6</v>
      </c>
      <c r="G135" s="5" t="s">
        <v>15</v>
      </c>
      <c r="H135" s="5" t="s">
        <v>25</v>
      </c>
      <c r="I135" s="5">
        <v>5.7</v>
      </c>
      <c r="J135">
        <f t="shared" si="4"/>
        <v>0.95000000000000007</v>
      </c>
    </row>
    <row r="136" spans="1:10" x14ac:dyDescent="0.25">
      <c r="A136" s="4">
        <v>703</v>
      </c>
      <c r="B136" s="4">
        <v>24</v>
      </c>
      <c r="C136" s="4" t="s">
        <v>12</v>
      </c>
      <c r="D136" s="4" t="s">
        <v>13</v>
      </c>
      <c r="E136" s="4" t="s">
        <v>29</v>
      </c>
      <c r="F136" s="4">
        <v>4.7</v>
      </c>
      <c r="G136" s="4" t="s">
        <v>30</v>
      </c>
      <c r="H136" s="4" t="s">
        <v>16</v>
      </c>
      <c r="I136" s="4">
        <v>7</v>
      </c>
      <c r="J136">
        <f t="shared" si="4"/>
        <v>1.4893617021276595</v>
      </c>
    </row>
    <row r="137" spans="1:10" x14ac:dyDescent="0.25">
      <c r="A137" s="5">
        <v>33</v>
      </c>
      <c r="B137" s="5">
        <v>19</v>
      </c>
      <c r="C137" s="5" t="s">
        <v>12</v>
      </c>
      <c r="D137" s="5" t="s">
        <v>27</v>
      </c>
      <c r="E137" s="5" t="s">
        <v>14</v>
      </c>
      <c r="F137" s="5">
        <v>3.6</v>
      </c>
      <c r="G137" s="5" t="s">
        <v>31</v>
      </c>
      <c r="H137" s="5" t="s">
        <v>16</v>
      </c>
      <c r="I137" s="5">
        <v>8.1</v>
      </c>
      <c r="J137">
        <f t="shared" si="4"/>
        <v>2.25</v>
      </c>
    </row>
    <row r="138" spans="1:10" x14ac:dyDescent="0.25">
      <c r="A138" s="4">
        <v>519</v>
      </c>
      <c r="B138" s="4">
        <v>18</v>
      </c>
      <c r="C138" s="4" t="s">
        <v>12</v>
      </c>
      <c r="D138" s="4" t="s">
        <v>21</v>
      </c>
      <c r="E138" s="4" t="s">
        <v>14</v>
      </c>
      <c r="F138" s="4">
        <v>4.0999999999999996</v>
      </c>
      <c r="G138" s="4" t="s">
        <v>19</v>
      </c>
      <c r="H138" s="4" t="s">
        <v>16</v>
      </c>
      <c r="I138" s="4">
        <v>7.3</v>
      </c>
      <c r="J138">
        <f t="shared" si="4"/>
        <v>1.7804878048780488</v>
      </c>
    </row>
    <row r="139" spans="1:10" x14ac:dyDescent="0.25">
      <c r="A139" s="5">
        <v>738</v>
      </c>
      <c r="B139" s="5">
        <v>18</v>
      </c>
      <c r="C139" s="5" t="s">
        <v>12</v>
      </c>
      <c r="D139" s="5" t="s">
        <v>27</v>
      </c>
      <c r="E139" s="5" t="s">
        <v>14</v>
      </c>
      <c r="F139" s="5">
        <v>7.6</v>
      </c>
      <c r="G139" s="5" t="s">
        <v>24</v>
      </c>
      <c r="H139" s="5" t="s">
        <v>25</v>
      </c>
      <c r="I139" s="5">
        <v>5.3</v>
      </c>
      <c r="J139">
        <f t="shared" si="4"/>
        <v>0.69736842105263164</v>
      </c>
    </row>
    <row r="140" spans="1:10" x14ac:dyDescent="0.25">
      <c r="A140" s="4">
        <v>119</v>
      </c>
      <c r="B140" s="4">
        <v>20</v>
      </c>
      <c r="C140" s="4" t="s">
        <v>12</v>
      </c>
      <c r="D140" s="4" t="s">
        <v>13</v>
      </c>
      <c r="E140" s="4" t="s">
        <v>14</v>
      </c>
      <c r="F140" s="4">
        <v>2.4</v>
      </c>
      <c r="G140" s="4" t="s">
        <v>15</v>
      </c>
      <c r="H140" s="4" t="s">
        <v>16</v>
      </c>
      <c r="I140" s="4">
        <v>8.8000000000000007</v>
      </c>
      <c r="J140">
        <f t="shared" si="4"/>
        <v>3.666666666666667</v>
      </c>
    </row>
    <row r="141" spans="1:10" x14ac:dyDescent="0.25">
      <c r="A141" s="5">
        <v>287</v>
      </c>
      <c r="B141" s="5">
        <v>23</v>
      </c>
      <c r="C141" s="5" t="s">
        <v>18</v>
      </c>
      <c r="D141" s="5" t="s">
        <v>13</v>
      </c>
      <c r="E141" s="5" t="s">
        <v>14</v>
      </c>
      <c r="F141" s="5">
        <v>6.2</v>
      </c>
      <c r="G141" s="5" t="s">
        <v>19</v>
      </c>
      <c r="H141" s="5" t="s">
        <v>16</v>
      </c>
      <c r="I141" s="5">
        <v>5.3</v>
      </c>
      <c r="J141">
        <f t="shared" si="4"/>
        <v>0.85483870967741926</v>
      </c>
    </row>
    <row r="142" spans="1:10" x14ac:dyDescent="0.25">
      <c r="A142" s="4">
        <v>610</v>
      </c>
      <c r="B142" s="4">
        <v>24</v>
      </c>
      <c r="C142" s="4" t="s">
        <v>12</v>
      </c>
      <c r="D142" s="4" t="s">
        <v>21</v>
      </c>
      <c r="E142" s="4" t="s">
        <v>32</v>
      </c>
      <c r="F142" s="4">
        <v>2.7</v>
      </c>
      <c r="G142" s="4" t="s">
        <v>23</v>
      </c>
      <c r="H142" s="4" t="s">
        <v>16</v>
      </c>
      <c r="I142" s="4">
        <v>8.6</v>
      </c>
      <c r="J142">
        <f t="shared" si="4"/>
        <v>3.1851851851851847</v>
      </c>
    </row>
    <row r="143" spans="1:10" x14ac:dyDescent="0.25">
      <c r="A143" s="5">
        <v>383</v>
      </c>
      <c r="B143" s="5">
        <v>18</v>
      </c>
      <c r="C143" s="5" t="s">
        <v>18</v>
      </c>
      <c r="D143" s="5" t="s">
        <v>21</v>
      </c>
      <c r="E143" s="5" t="s">
        <v>14</v>
      </c>
      <c r="F143" s="5">
        <v>5.2</v>
      </c>
      <c r="G143" s="5" t="s">
        <v>28</v>
      </c>
      <c r="H143" s="5" t="s">
        <v>25</v>
      </c>
      <c r="I143" s="5">
        <v>7</v>
      </c>
      <c r="J143">
        <f t="shared" si="4"/>
        <v>1.346153846153846</v>
      </c>
    </row>
    <row r="144" spans="1:10" x14ac:dyDescent="0.25">
      <c r="A144" s="4">
        <v>699</v>
      </c>
      <c r="B144" s="4">
        <v>22</v>
      </c>
      <c r="C144" s="4" t="s">
        <v>18</v>
      </c>
      <c r="D144" s="4" t="s">
        <v>21</v>
      </c>
      <c r="E144" s="4" t="s">
        <v>29</v>
      </c>
      <c r="F144" s="4">
        <v>6.5</v>
      </c>
      <c r="G144" s="4" t="s">
        <v>30</v>
      </c>
      <c r="H144" s="4" t="s">
        <v>25</v>
      </c>
      <c r="I144" s="4">
        <v>5.4</v>
      </c>
      <c r="J144">
        <f t="shared" si="4"/>
        <v>0.83076923076923082</v>
      </c>
    </row>
    <row r="145" spans="1:11" x14ac:dyDescent="0.25">
      <c r="A145" s="5">
        <v>302</v>
      </c>
      <c r="B145" s="5">
        <v>21</v>
      </c>
      <c r="C145" s="5" t="s">
        <v>12</v>
      </c>
      <c r="D145" s="5" t="s">
        <v>27</v>
      </c>
      <c r="E145" s="5" t="s">
        <v>33</v>
      </c>
      <c r="F145" s="5">
        <v>6.8</v>
      </c>
      <c r="G145" s="5" t="s">
        <v>30</v>
      </c>
      <c r="H145" s="5" t="s">
        <v>25</v>
      </c>
      <c r="I145" s="5">
        <v>5.7</v>
      </c>
      <c r="J145">
        <f t="shared" si="4"/>
        <v>0.83823529411764708</v>
      </c>
    </row>
    <row r="146" spans="1:11" x14ac:dyDescent="0.25">
      <c r="A146" s="4">
        <v>277</v>
      </c>
      <c r="B146" s="4">
        <v>21</v>
      </c>
      <c r="C146" s="4" t="s">
        <v>12</v>
      </c>
      <c r="D146" s="4" t="s">
        <v>21</v>
      </c>
      <c r="E146" s="4" t="s">
        <v>22</v>
      </c>
      <c r="F146" s="4">
        <v>6.9</v>
      </c>
      <c r="G146" s="4" t="s">
        <v>15</v>
      </c>
      <c r="H146" s="4" t="s">
        <v>25</v>
      </c>
      <c r="I146" s="4">
        <v>5.9</v>
      </c>
      <c r="J146">
        <f t="shared" si="4"/>
        <v>0.85507246376811596</v>
      </c>
    </row>
    <row r="147" spans="1:11" x14ac:dyDescent="0.25">
      <c r="A147" s="5">
        <v>631</v>
      </c>
      <c r="B147" s="5">
        <v>20</v>
      </c>
      <c r="C147" s="5" t="s">
        <v>12</v>
      </c>
      <c r="D147" s="5" t="s">
        <v>13</v>
      </c>
      <c r="E147" s="5" t="s">
        <v>14</v>
      </c>
      <c r="F147" s="5">
        <v>5.5</v>
      </c>
      <c r="G147" s="5" t="s">
        <v>23</v>
      </c>
      <c r="H147" s="5" t="s">
        <v>16</v>
      </c>
      <c r="I147" s="5">
        <v>6.8</v>
      </c>
      <c r="J147">
        <f t="shared" si="4"/>
        <v>1.2363636363636363</v>
      </c>
    </row>
    <row r="149" spans="1:11" x14ac:dyDescent="0.25">
      <c r="A149" s="7" t="s">
        <v>40</v>
      </c>
      <c r="B149" s="8"/>
      <c r="C149" s="8"/>
      <c r="D149" s="8"/>
      <c r="E149" s="8"/>
      <c r="F149" s="9"/>
    </row>
    <row r="150" spans="1:11" ht="25.5" x14ac:dyDescent="0.25">
      <c r="A150" s="3" t="s">
        <v>1</v>
      </c>
      <c r="B150" s="3" t="s">
        <v>2</v>
      </c>
      <c r="C150" s="3" t="s">
        <v>3</v>
      </c>
      <c r="D150" s="3" t="s">
        <v>4</v>
      </c>
      <c r="E150" s="3" t="s">
        <v>5</v>
      </c>
      <c r="F150" s="3" t="s">
        <v>6</v>
      </c>
      <c r="G150" s="3" t="s">
        <v>7</v>
      </c>
      <c r="H150" s="3" t="s">
        <v>8</v>
      </c>
      <c r="I150" s="3" t="s">
        <v>9</v>
      </c>
      <c r="J150" s="3" t="s">
        <v>10</v>
      </c>
      <c r="K150" s="11" t="s">
        <v>43</v>
      </c>
    </row>
    <row r="151" spans="1:11" x14ac:dyDescent="0.25">
      <c r="A151" s="4">
        <v>232</v>
      </c>
      <c r="B151" s="4">
        <v>21</v>
      </c>
      <c r="C151" s="4" t="s">
        <v>12</v>
      </c>
      <c r="D151" s="4" t="s">
        <v>13</v>
      </c>
      <c r="E151" s="4" t="s">
        <v>14</v>
      </c>
      <c r="F151" s="4">
        <v>4</v>
      </c>
      <c r="G151" s="4" t="s">
        <v>15</v>
      </c>
      <c r="H151" s="4" t="s">
        <v>16</v>
      </c>
      <c r="I151" s="4">
        <v>6.7</v>
      </c>
      <c r="J151" s="4">
        <v>6.8</v>
      </c>
      <c r="K151" t="str">
        <f>IF(I151&gt;=8,"Excellent",IF(I151&gt;=6,"Good",IF(I151&gt;=4,"Fair","Poor")))</f>
        <v>Good</v>
      </c>
    </row>
    <row r="152" spans="1:11" x14ac:dyDescent="0.25">
      <c r="A152" s="5">
        <v>564</v>
      </c>
      <c r="B152" s="5">
        <v>23</v>
      </c>
      <c r="C152" s="5" t="s">
        <v>18</v>
      </c>
      <c r="D152" s="5" t="s">
        <v>13</v>
      </c>
      <c r="E152" s="5" t="s">
        <v>14</v>
      </c>
      <c r="F152" s="5">
        <v>1.6</v>
      </c>
      <c r="G152" s="5" t="s">
        <v>19</v>
      </c>
      <c r="H152" s="5" t="s">
        <v>16</v>
      </c>
      <c r="I152" s="5">
        <v>8.6</v>
      </c>
      <c r="J152" s="5">
        <v>7.6</v>
      </c>
      <c r="K152" t="str">
        <f t="shared" ref="K152:K170" si="5">IF(I152&gt;=8,"Excellent",IF(I152&gt;=6,"Good",IF(I152&gt;=4,"Fair","Poor")))</f>
        <v>Excellent</v>
      </c>
    </row>
    <row r="153" spans="1:11" x14ac:dyDescent="0.25">
      <c r="A153" s="4">
        <v>788</v>
      </c>
      <c r="B153" s="4">
        <v>22</v>
      </c>
      <c r="C153" s="4" t="s">
        <v>12</v>
      </c>
      <c r="D153" s="4" t="s">
        <v>21</v>
      </c>
      <c r="E153" s="4" t="s">
        <v>22</v>
      </c>
      <c r="F153" s="4">
        <v>4.5999999999999996</v>
      </c>
      <c r="G153" s="4" t="s">
        <v>23</v>
      </c>
      <c r="H153" s="4" t="s">
        <v>16</v>
      </c>
      <c r="I153" s="4">
        <v>6.7</v>
      </c>
      <c r="J153" s="4">
        <v>7</v>
      </c>
      <c r="K153" t="str">
        <f t="shared" si="5"/>
        <v>Good</v>
      </c>
    </row>
    <row r="154" spans="1:11" x14ac:dyDescent="0.25">
      <c r="A154" s="5">
        <v>686</v>
      </c>
      <c r="B154" s="5">
        <v>18</v>
      </c>
      <c r="C154" s="5" t="s">
        <v>12</v>
      </c>
      <c r="D154" s="5" t="s">
        <v>13</v>
      </c>
      <c r="E154" s="5" t="s">
        <v>14</v>
      </c>
      <c r="F154" s="5">
        <v>7</v>
      </c>
      <c r="G154" s="5" t="s">
        <v>24</v>
      </c>
      <c r="H154" s="5" t="s">
        <v>25</v>
      </c>
      <c r="I154" s="5">
        <v>5.4</v>
      </c>
      <c r="J154" s="5">
        <v>5.3</v>
      </c>
      <c r="K154" t="str">
        <f t="shared" si="5"/>
        <v>Fair</v>
      </c>
    </row>
    <row r="155" spans="1:11" x14ac:dyDescent="0.25">
      <c r="A155" s="4">
        <v>608</v>
      </c>
      <c r="B155" s="4">
        <v>24</v>
      </c>
      <c r="C155" s="4" t="s">
        <v>18</v>
      </c>
      <c r="D155" s="4" t="s">
        <v>27</v>
      </c>
      <c r="E155" s="4" t="s">
        <v>14</v>
      </c>
      <c r="F155" s="4">
        <v>7.5</v>
      </c>
      <c r="G155" s="4" t="s">
        <v>15</v>
      </c>
      <c r="H155" s="4" t="s">
        <v>25</v>
      </c>
      <c r="I155" s="4">
        <v>5</v>
      </c>
      <c r="J155" s="4">
        <v>4.4000000000000004</v>
      </c>
      <c r="K155" t="str">
        <f t="shared" si="5"/>
        <v>Fair</v>
      </c>
    </row>
    <row r="156" spans="1:11" x14ac:dyDescent="0.25">
      <c r="A156" s="5">
        <v>370</v>
      </c>
      <c r="B156" s="5">
        <v>19</v>
      </c>
      <c r="C156" s="5" t="s">
        <v>18</v>
      </c>
      <c r="D156" s="5" t="s">
        <v>27</v>
      </c>
      <c r="E156" s="5" t="s">
        <v>14</v>
      </c>
      <c r="F156" s="5">
        <v>4.0999999999999996</v>
      </c>
      <c r="G156" s="5" t="s">
        <v>28</v>
      </c>
      <c r="H156" s="5" t="s">
        <v>25</v>
      </c>
      <c r="I156" s="5">
        <v>6.8</v>
      </c>
      <c r="J156" s="5">
        <v>6.8</v>
      </c>
      <c r="K156" t="str">
        <f t="shared" si="5"/>
        <v>Good</v>
      </c>
    </row>
    <row r="157" spans="1:11" x14ac:dyDescent="0.25">
      <c r="A157" s="4">
        <v>862</v>
      </c>
      <c r="B157" s="4">
        <v>22</v>
      </c>
      <c r="C157" s="4" t="s">
        <v>18</v>
      </c>
      <c r="D157" s="4" t="s">
        <v>21</v>
      </c>
      <c r="E157" s="4" t="s">
        <v>14</v>
      </c>
      <c r="F157" s="4">
        <v>8</v>
      </c>
      <c r="G157" s="4" t="s">
        <v>23</v>
      </c>
      <c r="H157" s="4" t="s">
        <v>25</v>
      </c>
      <c r="I157" s="4">
        <v>5.2</v>
      </c>
      <c r="J157" s="4">
        <v>5.3</v>
      </c>
      <c r="K157" t="str">
        <f t="shared" si="5"/>
        <v>Fair</v>
      </c>
    </row>
    <row r="158" spans="1:11" x14ac:dyDescent="0.25">
      <c r="A158" s="5">
        <v>520</v>
      </c>
      <c r="B158" s="5">
        <v>21</v>
      </c>
      <c r="C158" s="5" t="s">
        <v>18</v>
      </c>
      <c r="D158" s="5" t="s">
        <v>21</v>
      </c>
      <c r="E158" s="5" t="s">
        <v>14</v>
      </c>
      <c r="F158" s="5">
        <v>6</v>
      </c>
      <c r="G158" s="5" t="s">
        <v>15</v>
      </c>
      <c r="H158" s="5" t="s">
        <v>25</v>
      </c>
      <c r="I158" s="5">
        <v>5.7</v>
      </c>
      <c r="J158" s="5">
        <v>4.7</v>
      </c>
      <c r="K158" t="str">
        <f t="shared" si="5"/>
        <v>Fair</v>
      </c>
    </row>
    <row r="159" spans="1:11" x14ac:dyDescent="0.25">
      <c r="A159" s="4">
        <v>703</v>
      </c>
      <c r="B159" s="4">
        <v>24</v>
      </c>
      <c r="C159" s="4" t="s">
        <v>12</v>
      </c>
      <c r="D159" s="4" t="s">
        <v>13</v>
      </c>
      <c r="E159" s="4" t="s">
        <v>29</v>
      </c>
      <c r="F159" s="4">
        <v>4.7</v>
      </c>
      <c r="G159" s="4" t="s">
        <v>30</v>
      </c>
      <c r="H159" s="4" t="s">
        <v>16</v>
      </c>
      <c r="I159" s="4">
        <v>7</v>
      </c>
      <c r="J159" s="4">
        <v>6.2</v>
      </c>
      <c r="K159" t="str">
        <f t="shared" si="5"/>
        <v>Good</v>
      </c>
    </row>
    <row r="160" spans="1:11" x14ac:dyDescent="0.25">
      <c r="A160" s="5">
        <v>33</v>
      </c>
      <c r="B160" s="5">
        <v>19</v>
      </c>
      <c r="C160" s="5" t="s">
        <v>12</v>
      </c>
      <c r="D160" s="5" t="s">
        <v>27</v>
      </c>
      <c r="E160" s="5" t="s">
        <v>14</v>
      </c>
      <c r="F160" s="5">
        <v>3.6</v>
      </c>
      <c r="G160" s="5" t="s">
        <v>31</v>
      </c>
      <c r="H160" s="5" t="s">
        <v>16</v>
      </c>
      <c r="I160" s="5">
        <v>8.1</v>
      </c>
      <c r="J160" s="5">
        <v>8.6</v>
      </c>
      <c r="K160" t="str">
        <f t="shared" si="5"/>
        <v>Excellent</v>
      </c>
    </row>
    <row r="161" spans="1:11" x14ac:dyDescent="0.25">
      <c r="A161" s="4">
        <v>519</v>
      </c>
      <c r="B161" s="4">
        <v>18</v>
      </c>
      <c r="C161" s="4" t="s">
        <v>12</v>
      </c>
      <c r="D161" s="4" t="s">
        <v>21</v>
      </c>
      <c r="E161" s="4" t="s">
        <v>14</v>
      </c>
      <c r="F161" s="4">
        <v>4.0999999999999996</v>
      </c>
      <c r="G161" s="4" t="s">
        <v>19</v>
      </c>
      <c r="H161" s="4" t="s">
        <v>16</v>
      </c>
      <c r="I161" s="4">
        <v>7.3</v>
      </c>
      <c r="J161" s="4">
        <v>6.8</v>
      </c>
      <c r="K161" t="str">
        <f t="shared" si="5"/>
        <v>Good</v>
      </c>
    </row>
    <row r="162" spans="1:11" x14ac:dyDescent="0.25">
      <c r="A162" s="5">
        <v>738</v>
      </c>
      <c r="B162" s="5">
        <v>18</v>
      </c>
      <c r="C162" s="5" t="s">
        <v>12</v>
      </c>
      <c r="D162" s="5" t="s">
        <v>27</v>
      </c>
      <c r="E162" s="5" t="s">
        <v>14</v>
      </c>
      <c r="F162" s="5">
        <v>7.6</v>
      </c>
      <c r="G162" s="5" t="s">
        <v>24</v>
      </c>
      <c r="H162" s="5" t="s">
        <v>25</v>
      </c>
      <c r="I162" s="5">
        <v>5.3</v>
      </c>
      <c r="J162" s="5">
        <v>5.5</v>
      </c>
      <c r="K162" t="str">
        <f t="shared" si="5"/>
        <v>Fair</v>
      </c>
    </row>
    <row r="163" spans="1:11" x14ac:dyDescent="0.25">
      <c r="A163" s="4">
        <v>119</v>
      </c>
      <c r="B163" s="4">
        <v>20</v>
      </c>
      <c r="C163" s="4" t="s">
        <v>12</v>
      </c>
      <c r="D163" s="4" t="s">
        <v>13</v>
      </c>
      <c r="E163" s="4" t="s">
        <v>14</v>
      </c>
      <c r="F163" s="4">
        <v>2.4</v>
      </c>
      <c r="G163" s="4" t="s">
        <v>15</v>
      </c>
      <c r="H163" s="4" t="s">
        <v>16</v>
      </c>
      <c r="I163" s="4">
        <v>8.8000000000000007</v>
      </c>
      <c r="J163" s="4">
        <v>8.5</v>
      </c>
      <c r="K163" t="str">
        <f t="shared" si="5"/>
        <v>Excellent</v>
      </c>
    </row>
    <row r="164" spans="1:11" x14ac:dyDescent="0.25">
      <c r="A164" s="5">
        <v>287</v>
      </c>
      <c r="B164" s="5">
        <v>23</v>
      </c>
      <c r="C164" s="5" t="s">
        <v>18</v>
      </c>
      <c r="D164" s="5" t="s">
        <v>13</v>
      </c>
      <c r="E164" s="5" t="s">
        <v>14</v>
      </c>
      <c r="F164" s="5">
        <v>6.2</v>
      </c>
      <c r="G164" s="5" t="s">
        <v>19</v>
      </c>
      <c r="H164" s="5" t="s">
        <v>16</v>
      </c>
      <c r="I164" s="5">
        <v>5.3</v>
      </c>
      <c r="J164" s="5">
        <v>5.4</v>
      </c>
      <c r="K164" t="str">
        <f t="shared" si="5"/>
        <v>Fair</v>
      </c>
    </row>
    <row r="165" spans="1:11" x14ac:dyDescent="0.25">
      <c r="A165" s="4">
        <v>610</v>
      </c>
      <c r="B165" s="4">
        <v>24</v>
      </c>
      <c r="C165" s="4" t="s">
        <v>12</v>
      </c>
      <c r="D165" s="4" t="s">
        <v>21</v>
      </c>
      <c r="E165" s="4" t="s">
        <v>32</v>
      </c>
      <c r="F165" s="4">
        <v>2.7</v>
      </c>
      <c r="G165" s="4" t="s">
        <v>23</v>
      </c>
      <c r="H165" s="4" t="s">
        <v>16</v>
      </c>
      <c r="I165" s="4">
        <v>8.6</v>
      </c>
      <c r="J165" s="4">
        <v>7.8</v>
      </c>
      <c r="K165" t="str">
        <f t="shared" si="5"/>
        <v>Excellent</v>
      </c>
    </row>
    <row r="166" spans="1:11" x14ac:dyDescent="0.25">
      <c r="A166" s="5">
        <v>383</v>
      </c>
      <c r="B166" s="5">
        <v>18</v>
      </c>
      <c r="C166" s="5" t="s">
        <v>18</v>
      </c>
      <c r="D166" s="5" t="s">
        <v>21</v>
      </c>
      <c r="E166" s="5" t="s">
        <v>14</v>
      </c>
      <c r="F166" s="5">
        <v>5.2</v>
      </c>
      <c r="G166" s="5" t="s">
        <v>28</v>
      </c>
      <c r="H166" s="5" t="s">
        <v>25</v>
      </c>
      <c r="I166" s="5">
        <v>7</v>
      </c>
      <c r="J166" s="5">
        <v>6.3</v>
      </c>
      <c r="K166" t="str">
        <f t="shared" si="5"/>
        <v>Good</v>
      </c>
    </row>
    <row r="167" spans="1:11" x14ac:dyDescent="0.25">
      <c r="A167" s="4">
        <v>699</v>
      </c>
      <c r="B167" s="4">
        <v>22</v>
      </c>
      <c r="C167" s="4" t="s">
        <v>18</v>
      </c>
      <c r="D167" s="4" t="s">
        <v>21</v>
      </c>
      <c r="E167" s="4" t="s">
        <v>29</v>
      </c>
      <c r="F167" s="4">
        <v>6.5</v>
      </c>
      <c r="G167" s="4" t="s">
        <v>30</v>
      </c>
      <c r="H167" s="4" t="s">
        <v>25</v>
      </c>
      <c r="I167" s="4">
        <v>5.4</v>
      </c>
      <c r="J167" s="4">
        <v>5</v>
      </c>
      <c r="K167" t="str">
        <f t="shared" si="5"/>
        <v>Fair</v>
      </c>
    </row>
    <row r="168" spans="1:11" x14ac:dyDescent="0.25">
      <c r="A168" s="5">
        <v>302</v>
      </c>
      <c r="B168" s="5">
        <v>21</v>
      </c>
      <c r="C168" s="5" t="s">
        <v>12</v>
      </c>
      <c r="D168" s="5" t="s">
        <v>27</v>
      </c>
      <c r="E168" s="5" t="s">
        <v>33</v>
      </c>
      <c r="F168" s="5">
        <v>6.8</v>
      </c>
      <c r="G168" s="5" t="s">
        <v>30</v>
      </c>
      <c r="H168" s="5" t="s">
        <v>25</v>
      </c>
      <c r="I168" s="5">
        <v>5.7</v>
      </c>
      <c r="J168" s="5">
        <v>5</v>
      </c>
      <c r="K168" t="str">
        <f t="shared" si="5"/>
        <v>Fair</v>
      </c>
    </row>
    <row r="169" spans="1:11" x14ac:dyDescent="0.25">
      <c r="A169" s="4">
        <v>277</v>
      </c>
      <c r="B169" s="4">
        <v>21</v>
      </c>
      <c r="C169" s="4" t="s">
        <v>12</v>
      </c>
      <c r="D169" s="4" t="s">
        <v>21</v>
      </c>
      <c r="E169" s="4" t="s">
        <v>22</v>
      </c>
      <c r="F169" s="4">
        <v>6.9</v>
      </c>
      <c r="G169" s="4" t="s">
        <v>15</v>
      </c>
      <c r="H169" s="4" t="s">
        <v>25</v>
      </c>
      <c r="I169" s="4">
        <v>5.9</v>
      </c>
      <c r="J169" s="4">
        <v>5</v>
      </c>
      <c r="K169" t="str">
        <f t="shared" si="5"/>
        <v>Fair</v>
      </c>
    </row>
    <row r="170" spans="1:11" x14ac:dyDescent="0.25">
      <c r="A170" s="5">
        <v>631</v>
      </c>
      <c r="B170" s="5">
        <v>20</v>
      </c>
      <c r="C170" s="5" t="s">
        <v>12</v>
      </c>
      <c r="D170" s="5" t="s">
        <v>13</v>
      </c>
      <c r="E170" s="5" t="s">
        <v>14</v>
      </c>
      <c r="F170" s="5">
        <v>5.5</v>
      </c>
      <c r="G170" s="5" t="s">
        <v>23</v>
      </c>
      <c r="H170" s="5" t="s">
        <v>16</v>
      </c>
      <c r="I170" s="5">
        <v>6.8</v>
      </c>
      <c r="J170" s="5">
        <v>6.8</v>
      </c>
      <c r="K170" t="str">
        <f t="shared" si="5"/>
        <v>Good</v>
      </c>
    </row>
    <row r="172" spans="1:11" x14ac:dyDescent="0.25">
      <c r="A172" s="7" t="s">
        <v>41</v>
      </c>
      <c r="B172" s="8"/>
      <c r="C172" s="8"/>
      <c r="D172" s="8"/>
      <c r="E172" s="8"/>
      <c r="F172" s="9"/>
    </row>
    <row r="173" spans="1:11" x14ac:dyDescent="0.25">
      <c r="A173" s="3" t="s">
        <v>1</v>
      </c>
      <c r="B173" s="3" t="s">
        <v>2</v>
      </c>
      <c r="C173" s="3" t="s">
        <v>3</v>
      </c>
      <c r="D173" s="3" t="s">
        <v>4</v>
      </c>
      <c r="E173" s="3" t="s">
        <v>5</v>
      </c>
      <c r="F173" s="3" t="s">
        <v>6</v>
      </c>
      <c r="G173" s="3" t="s">
        <v>7</v>
      </c>
      <c r="H173" s="3" t="s">
        <v>8</v>
      </c>
      <c r="I173" s="11" t="s">
        <v>45</v>
      </c>
      <c r="J173" s="11" t="s">
        <v>43</v>
      </c>
    </row>
    <row r="174" spans="1:11" x14ac:dyDescent="0.25">
      <c r="A174" s="4">
        <v>232</v>
      </c>
      <c r="B174" s="4">
        <v>21</v>
      </c>
      <c r="C174" s="4" t="s">
        <v>12</v>
      </c>
      <c r="D174" s="4" t="s">
        <v>13</v>
      </c>
      <c r="E174" s="4" t="s">
        <v>14</v>
      </c>
      <c r="F174" s="4">
        <v>4</v>
      </c>
      <c r="G174" s="4" t="s">
        <v>15</v>
      </c>
      <c r="H174" s="4" t="s">
        <v>16</v>
      </c>
      <c r="I174" t="str">
        <f>IF(AND(F174&gt;5,H174="Yes"),"At Risk","Good")</f>
        <v>Good</v>
      </c>
      <c r="J174" s="12">
        <f>COUNTIF(I174:I193,"At Risk")</f>
        <v>9</v>
      </c>
    </row>
    <row r="175" spans="1:11" x14ac:dyDescent="0.25">
      <c r="A175" s="5">
        <v>564</v>
      </c>
      <c r="B175" s="5">
        <v>23</v>
      </c>
      <c r="C175" s="5" t="s">
        <v>18</v>
      </c>
      <c r="D175" s="5" t="s">
        <v>13</v>
      </c>
      <c r="E175" s="5" t="s">
        <v>14</v>
      </c>
      <c r="F175" s="5">
        <v>1.6</v>
      </c>
      <c r="G175" s="5" t="s">
        <v>19</v>
      </c>
      <c r="H175" s="5" t="s">
        <v>16</v>
      </c>
      <c r="I175" t="str">
        <f t="shared" ref="I175:I193" si="6">IF(AND(F175&gt;5,H175="Yes"),"At Risk","Good")</f>
        <v>Good</v>
      </c>
    </row>
    <row r="176" spans="1:11" x14ac:dyDescent="0.25">
      <c r="A176" s="4">
        <v>788</v>
      </c>
      <c r="B176" s="4">
        <v>22</v>
      </c>
      <c r="C176" s="4" t="s">
        <v>12</v>
      </c>
      <c r="D176" s="4" t="s">
        <v>21</v>
      </c>
      <c r="E176" s="4" t="s">
        <v>22</v>
      </c>
      <c r="F176" s="4">
        <v>4.5999999999999996</v>
      </c>
      <c r="G176" s="4" t="s">
        <v>23</v>
      </c>
      <c r="H176" s="4" t="s">
        <v>16</v>
      </c>
      <c r="I176" t="str">
        <f t="shared" si="6"/>
        <v>Good</v>
      </c>
    </row>
    <row r="177" spans="1:9" x14ac:dyDescent="0.25">
      <c r="A177" s="5">
        <v>686</v>
      </c>
      <c r="B177" s="5">
        <v>18</v>
      </c>
      <c r="C177" s="5" t="s">
        <v>12</v>
      </c>
      <c r="D177" s="5" t="s">
        <v>13</v>
      </c>
      <c r="E177" s="5" t="s">
        <v>14</v>
      </c>
      <c r="F177" s="5">
        <v>7</v>
      </c>
      <c r="G177" s="5" t="s">
        <v>24</v>
      </c>
      <c r="H177" s="5" t="s">
        <v>25</v>
      </c>
      <c r="I177" t="str">
        <f t="shared" si="6"/>
        <v>At Risk</v>
      </c>
    </row>
    <row r="178" spans="1:9" x14ac:dyDescent="0.25">
      <c r="A178" s="4">
        <v>608</v>
      </c>
      <c r="B178" s="4">
        <v>24</v>
      </c>
      <c r="C178" s="4" t="s">
        <v>18</v>
      </c>
      <c r="D178" s="4" t="s">
        <v>27</v>
      </c>
      <c r="E178" s="4" t="s">
        <v>14</v>
      </c>
      <c r="F178" s="4">
        <v>7.5</v>
      </c>
      <c r="G178" s="4" t="s">
        <v>15</v>
      </c>
      <c r="H178" s="4" t="s">
        <v>25</v>
      </c>
      <c r="I178" t="str">
        <f t="shared" si="6"/>
        <v>At Risk</v>
      </c>
    </row>
    <row r="179" spans="1:9" x14ac:dyDescent="0.25">
      <c r="A179" s="5">
        <v>370</v>
      </c>
      <c r="B179" s="5">
        <v>19</v>
      </c>
      <c r="C179" s="5" t="s">
        <v>18</v>
      </c>
      <c r="D179" s="5" t="s">
        <v>27</v>
      </c>
      <c r="E179" s="5" t="s">
        <v>14</v>
      </c>
      <c r="F179" s="5">
        <v>4.0999999999999996</v>
      </c>
      <c r="G179" s="5" t="s">
        <v>28</v>
      </c>
      <c r="H179" s="5" t="s">
        <v>25</v>
      </c>
      <c r="I179" t="str">
        <f t="shared" si="6"/>
        <v>Good</v>
      </c>
    </row>
    <row r="180" spans="1:9" x14ac:dyDescent="0.25">
      <c r="A180" s="4">
        <v>862</v>
      </c>
      <c r="B180" s="4">
        <v>22</v>
      </c>
      <c r="C180" s="4" t="s">
        <v>18</v>
      </c>
      <c r="D180" s="4" t="s">
        <v>21</v>
      </c>
      <c r="E180" s="4" t="s">
        <v>14</v>
      </c>
      <c r="F180" s="4">
        <v>8</v>
      </c>
      <c r="G180" s="4" t="s">
        <v>23</v>
      </c>
      <c r="H180" s="4" t="s">
        <v>25</v>
      </c>
      <c r="I180" t="str">
        <f t="shared" si="6"/>
        <v>At Risk</v>
      </c>
    </row>
    <row r="181" spans="1:9" x14ac:dyDescent="0.25">
      <c r="A181" s="5">
        <v>520</v>
      </c>
      <c r="B181" s="5">
        <v>21</v>
      </c>
      <c r="C181" s="5" t="s">
        <v>18</v>
      </c>
      <c r="D181" s="5" t="s">
        <v>21</v>
      </c>
      <c r="E181" s="5" t="s">
        <v>14</v>
      </c>
      <c r="F181" s="5">
        <v>6</v>
      </c>
      <c r="G181" s="5" t="s">
        <v>15</v>
      </c>
      <c r="H181" s="5" t="s">
        <v>25</v>
      </c>
      <c r="I181" t="str">
        <f t="shared" si="6"/>
        <v>At Risk</v>
      </c>
    </row>
    <row r="182" spans="1:9" x14ac:dyDescent="0.25">
      <c r="A182" s="4">
        <v>703</v>
      </c>
      <c r="B182" s="4">
        <v>24</v>
      </c>
      <c r="C182" s="4" t="s">
        <v>12</v>
      </c>
      <c r="D182" s="4" t="s">
        <v>13</v>
      </c>
      <c r="E182" s="4" t="s">
        <v>29</v>
      </c>
      <c r="F182" s="4">
        <v>4.7</v>
      </c>
      <c r="G182" s="4" t="s">
        <v>30</v>
      </c>
      <c r="H182" s="4" t="s">
        <v>16</v>
      </c>
      <c r="I182" t="str">
        <f t="shared" si="6"/>
        <v>Good</v>
      </c>
    </row>
    <row r="183" spans="1:9" x14ac:dyDescent="0.25">
      <c r="A183" s="5">
        <v>33</v>
      </c>
      <c r="B183" s="5">
        <v>19</v>
      </c>
      <c r="C183" s="5" t="s">
        <v>12</v>
      </c>
      <c r="D183" s="5" t="s">
        <v>27</v>
      </c>
      <c r="E183" s="5" t="s">
        <v>14</v>
      </c>
      <c r="F183" s="5">
        <v>3.6</v>
      </c>
      <c r="G183" s="5" t="s">
        <v>31</v>
      </c>
      <c r="H183" s="5" t="s">
        <v>16</v>
      </c>
      <c r="I183" t="str">
        <f t="shared" si="6"/>
        <v>Good</v>
      </c>
    </row>
    <row r="184" spans="1:9" x14ac:dyDescent="0.25">
      <c r="A184" s="4">
        <v>519</v>
      </c>
      <c r="B184" s="4">
        <v>18</v>
      </c>
      <c r="C184" s="4" t="s">
        <v>12</v>
      </c>
      <c r="D184" s="4" t="s">
        <v>21</v>
      </c>
      <c r="E184" s="4" t="s">
        <v>14</v>
      </c>
      <c r="F184" s="4">
        <v>4.0999999999999996</v>
      </c>
      <c r="G184" s="4" t="s">
        <v>19</v>
      </c>
      <c r="H184" s="4" t="s">
        <v>16</v>
      </c>
      <c r="I184" t="str">
        <f t="shared" si="6"/>
        <v>Good</v>
      </c>
    </row>
    <row r="185" spans="1:9" x14ac:dyDescent="0.25">
      <c r="A185" s="5">
        <v>738</v>
      </c>
      <c r="B185" s="5">
        <v>18</v>
      </c>
      <c r="C185" s="5" t="s">
        <v>12</v>
      </c>
      <c r="D185" s="5" t="s">
        <v>27</v>
      </c>
      <c r="E185" s="5" t="s">
        <v>14</v>
      </c>
      <c r="F185" s="5">
        <v>7.6</v>
      </c>
      <c r="G185" s="5" t="s">
        <v>24</v>
      </c>
      <c r="H185" s="5" t="s">
        <v>25</v>
      </c>
      <c r="I185" t="str">
        <f t="shared" si="6"/>
        <v>At Risk</v>
      </c>
    </row>
    <row r="186" spans="1:9" x14ac:dyDescent="0.25">
      <c r="A186" s="4">
        <v>119</v>
      </c>
      <c r="B186" s="4">
        <v>20</v>
      </c>
      <c r="C186" s="4" t="s">
        <v>12</v>
      </c>
      <c r="D186" s="4" t="s">
        <v>13</v>
      </c>
      <c r="E186" s="4" t="s">
        <v>14</v>
      </c>
      <c r="F186" s="4">
        <v>2.4</v>
      </c>
      <c r="G186" s="4" t="s">
        <v>15</v>
      </c>
      <c r="H186" s="4" t="s">
        <v>16</v>
      </c>
      <c r="I186" t="str">
        <f t="shared" si="6"/>
        <v>Good</v>
      </c>
    </row>
    <row r="187" spans="1:9" x14ac:dyDescent="0.25">
      <c r="A187" s="5">
        <v>287</v>
      </c>
      <c r="B187" s="5">
        <v>23</v>
      </c>
      <c r="C187" s="5" t="s">
        <v>18</v>
      </c>
      <c r="D187" s="5" t="s">
        <v>13</v>
      </c>
      <c r="E187" s="5" t="s">
        <v>14</v>
      </c>
      <c r="F187" s="5">
        <v>6.2</v>
      </c>
      <c r="G187" s="5" t="s">
        <v>19</v>
      </c>
      <c r="H187" s="5" t="s">
        <v>16</v>
      </c>
      <c r="I187" t="str">
        <f t="shared" si="6"/>
        <v>Good</v>
      </c>
    </row>
    <row r="188" spans="1:9" x14ac:dyDescent="0.25">
      <c r="A188" s="4">
        <v>610</v>
      </c>
      <c r="B188" s="4">
        <v>24</v>
      </c>
      <c r="C188" s="4" t="s">
        <v>12</v>
      </c>
      <c r="D188" s="4" t="s">
        <v>21</v>
      </c>
      <c r="E188" s="4" t="s">
        <v>32</v>
      </c>
      <c r="F188" s="4">
        <v>2.7</v>
      </c>
      <c r="G188" s="4" t="s">
        <v>23</v>
      </c>
      <c r="H188" s="4" t="s">
        <v>16</v>
      </c>
      <c r="I188" t="str">
        <f t="shared" si="6"/>
        <v>Good</v>
      </c>
    </row>
    <row r="189" spans="1:9" x14ac:dyDescent="0.25">
      <c r="A189" s="5">
        <v>383</v>
      </c>
      <c r="B189" s="5">
        <v>18</v>
      </c>
      <c r="C189" s="5" t="s">
        <v>18</v>
      </c>
      <c r="D189" s="5" t="s">
        <v>21</v>
      </c>
      <c r="E189" s="5" t="s">
        <v>14</v>
      </c>
      <c r="F189" s="5">
        <v>5.2</v>
      </c>
      <c r="G189" s="5" t="s">
        <v>28</v>
      </c>
      <c r="H189" s="5" t="s">
        <v>25</v>
      </c>
      <c r="I189" t="str">
        <f t="shared" si="6"/>
        <v>At Risk</v>
      </c>
    </row>
    <row r="190" spans="1:9" x14ac:dyDescent="0.25">
      <c r="A190" s="4">
        <v>699</v>
      </c>
      <c r="B190" s="4">
        <v>22</v>
      </c>
      <c r="C190" s="4" t="s">
        <v>18</v>
      </c>
      <c r="D190" s="4" t="s">
        <v>21</v>
      </c>
      <c r="E190" s="4" t="s">
        <v>29</v>
      </c>
      <c r="F190" s="4">
        <v>6.5</v>
      </c>
      <c r="G190" s="4" t="s">
        <v>30</v>
      </c>
      <c r="H190" s="4" t="s">
        <v>25</v>
      </c>
      <c r="I190" t="str">
        <f t="shared" si="6"/>
        <v>At Risk</v>
      </c>
    </row>
    <row r="191" spans="1:9" x14ac:dyDescent="0.25">
      <c r="A191" s="5">
        <v>302</v>
      </c>
      <c r="B191" s="5">
        <v>21</v>
      </c>
      <c r="C191" s="5" t="s">
        <v>12</v>
      </c>
      <c r="D191" s="5" t="s">
        <v>27</v>
      </c>
      <c r="E191" s="5" t="s">
        <v>33</v>
      </c>
      <c r="F191" s="5">
        <v>6.8</v>
      </c>
      <c r="G191" s="5" t="s">
        <v>30</v>
      </c>
      <c r="H191" s="5" t="s">
        <v>25</v>
      </c>
      <c r="I191" t="str">
        <f t="shared" si="6"/>
        <v>At Risk</v>
      </c>
    </row>
    <row r="192" spans="1:9" x14ac:dyDescent="0.25">
      <c r="A192" s="4">
        <v>277</v>
      </c>
      <c r="B192" s="4">
        <v>21</v>
      </c>
      <c r="C192" s="4" t="s">
        <v>12</v>
      </c>
      <c r="D192" s="4" t="s">
        <v>21</v>
      </c>
      <c r="E192" s="4" t="s">
        <v>22</v>
      </c>
      <c r="F192" s="4">
        <v>6.9</v>
      </c>
      <c r="G192" s="4" t="s">
        <v>15</v>
      </c>
      <c r="H192" s="4" t="s">
        <v>25</v>
      </c>
      <c r="I192" t="str">
        <f t="shared" si="6"/>
        <v>At Risk</v>
      </c>
    </row>
    <row r="193" spans="1:9" x14ac:dyDescent="0.25">
      <c r="A193" s="5">
        <v>631</v>
      </c>
      <c r="B193" s="5">
        <v>20</v>
      </c>
      <c r="C193" s="5" t="s">
        <v>12</v>
      </c>
      <c r="D193" s="5" t="s">
        <v>13</v>
      </c>
      <c r="E193" s="5" t="s">
        <v>14</v>
      </c>
      <c r="F193" s="5">
        <v>5.5</v>
      </c>
      <c r="G193" s="5" t="s">
        <v>23</v>
      </c>
      <c r="H193" s="5" t="s">
        <v>16</v>
      </c>
      <c r="I193" t="str">
        <f t="shared" si="6"/>
        <v>Good</v>
      </c>
    </row>
  </sheetData>
  <mergeCells count="17">
    <mergeCell ref="A80:F80"/>
    <mergeCell ref="A103:F103"/>
    <mergeCell ref="A126:F126"/>
    <mergeCell ref="A149:F149"/>
    <mergeCell ref="A172:F172"/>
    <mergeCell ref="A29:F29"/>
    <mergeCell ref="A30:F30"/>
    <mergeCell ref="A31:F31"/>
    <mergeCell ref="A33:D33"/>
    <mergeCell ref="A34:F34"/>
    <mergeCell ref="A57:F57"/>
    <mergeCell ref="A1:F1"/>
    <mergeCell ref="A24:F24"/>
    <mergeCell ref="A25:F25"/>
    <mergeCell ref="A26:F26"/>
    <mergeCell ref="A27:F27"/>
    <mergeCell ref="A28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4B76-4DF0-4B9E-AAEC-59ABA2179960}">
  <dimension ref="A1:D28"/>
  <sheetViews>
    <sheetView workbookViewId="0">
      <selection activeCell="H13" sqref="H13"/>
    </sheetView>
  </sheetViews>
  <sheetFormatPr defaultRowHeight="15" x14ac:dyDescent="0.25"/>
  <cols>
    <col min="1" max="1" width="29.42578125" bestFit="1" customWidth="1"/>
    <col min="2" max="2" width="16.28515625" bestFit="1" customWidth="1"/>
    <col min="3" max="3" width="14.5703125" bestFit="1" customWidth="1"/>
    <col min="4" max="4" width="11.28515625" bestFit="1" customWidth="1"/>
    <col min="5" max="5" width="24.140625" bestFit="1" customWidth="1"/>
    <col min="6" max="6" width="34.5703125" bestFit="1" customWidth="1"/>
  </cols>
  <sheetData>
    <row r="1" spans="1:3" x14ac:dyDescent="0.25">
      <c r="A1" s="13" t="s">
        <v>46</v>
      </c>
      <c r="B1" t="s">
        <v>50</v>
      </c>
      <c r="C1" t="s">
        <v>49</v>
      </c>
    </row>
    <row r="2" spans="1:3" x14ac:dyDescent="0.25">
      <c r="A2" s="14" t="s">
        <v>45</v>
      </c>
      <c r="B2" s="15">
        <v>9</v>
      </c>
      <c r="C2" s="15">
        <v>61.5</v>
      </c>
    </row>
    <row r="3" spans="1:3" x14ac:dyDescent="0.25">
      <c r="A3" s="14" t="s">
        <v>47</v>
      </c>
      <c r="B3" s="15">
        <v>11</v>
      </c>
      <c r="C3" s="15">
        <v>43.500000000000007</v>
      </c>
    </row>
    <row r="4" spans="1:3" x14ac:dyDescent="0.25">
      <c r="A4" s="14" t="s">
        <v>48</v>
      </c>
      <c r="B4" s="15">
        <v>20</v>
      </c>
      <c r="C4" s="15">
        <v>104.99999999999999</v>
      </c>
    </row>
    <row r="20" spans="1:4" x14ac:dyDescent="0.25">
      <c r="A20" s="14"/>
    </row>
    <row r="21" spans="1:4" x14ac:dyDescent="0.25">
      <c r="A21" s="14"/>
    </row>
    <row r="23" spans="1:4" x14ac:dyDescent="0.25">
      <c r="A23" s="13" t="s">
        <v>49</v>
      </c>
      <c r="B23" s="13" t="s">
        <v>51</v>
      </c>
    </row>
    <row r="24" spans="1:4" x14ac:dyDescent="0.25">
      <c r="A24" s="13" t="s">
        <v>57</v>
      </c>
      <c r="B24" t="s">
        <v>52</v>
      </c>
      <c r="C24" t="s">
        <v>53</v>
      </c>
      <c r="D24" t="s">
        <v>48</v>
      </c>
    </row>
    <row r="25" spans="1:4" x14ac:dyDescent="0.25">
      <c r="A25" s="14" t="s">
        <v>55</v>
      </c>
      <c r="B25" s="15">
        <v>14.6</v>
      </c>
      <c r="C25" s="15">
        <v>9.3000000000000007</v>
      </c>
      <c r="D25" s="15">
        <v>23.9</v>
      </c>
    </row>
    <row r="26" spans="1:4" x14ac:dyDescent="0.25">
      <c r="A26" s="14" t="s">
        <v>56</v>
      </c>
      <c r="B26" s="15"/>
      <c r="C26" s="15">
        <v>15.6</v>
      </c>
      <c r="D26" s="15">
        <v>15.6</v>
      </c>
    </row>
    <row r="27" spans="1:4" x14ac:dyDescent="0.25">
      <c r="A27" s="14" t="s">
        <v>54</v>
      </c>
      <c r="B27" s="15">
        <v>41.9</v>
      </c>
      <c r="C27" s="15">
        <v>23.599999999999998</v>
      </c>
      <c r="D27" s="15">
        <v>65.5</v>
      </c>
    </row>
    <row r="28" spans="1:4" x14ac:dyDescent="0.25">
      <c r="A28" s="14" t="s">
        <v>48</v>
      </c>
      <c r="B28" s="15">
        <v>56.5</v>
      </c>
      <c r="C28" s="15">
        <v>48.5</v>
      </c>
      <c r="D28" s="15">
        <v>105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2026-09-17T21:23:24Z</dcterms:created>
  <dcterms:modified xsi:type="dcterms:W3CDTF">2026-09-17T21:50:07Z</dcterms:modified>
</cp:coreProperties>
</file>